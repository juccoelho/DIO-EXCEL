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.coelho\Downloads\"/>
    </mc:Choice>
  </mc:AlternateContent>
  <xr:revisionPtr revIDLastSave="0" documentId="8_{6256BC1A-59E4-4FD9-9018-FFE8006BA5D8}" xr6:coauthVersionLast="47" xr6:coauthVersionMax="47" xr10:uidLastSave="{00000000-0000-0000-0000-000000000000}"/>
  <bookViews>
    <workbookView xWindow="-110" yWindow="-110" windowWidth="19420" windowHeight="10300" firstSheet="6" activeTab="6" xr2:uid="{28DD5B76-0634-4F87-BE60-8BFA7EF2E23B}"/>
  </bookViews>
  <sheets>
    <sheet name="A̳ssets" sheetId="1" state="hidden" r:id="rId1"/>
    <sheet name="1" sheetId="5" state="hidden" r:id="rId2"/>
    <sheet name="2" sheetId="6" state="hidden" r:id="rId3"/>
    <sheet name="3" sheetId="7" state="hidden" r:id="rId4"/>
    <sheet name="4" sheetId="8" state="hidden" r:id="rId5"/>
    <sheet name="B̳ases" sheetId="2" state="hidden" r:id="rId6"/>
    <sheet name="D̳ashboard" sheetId="4" r:id="rId7"/>
  </sheets>
  <definedNames>
    <definedName name="SegmentaçãodeDados_Subscription_Type">#N/A</definedName>
  </definedNames>
  <calcPr calcId="191029"/>
  <pivotCaches>
    <pivotCache cacheId="14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6" l="1"/>
  <c r="E4" i="6"/>
  <c r="C4" i="5"/>
  <c r="D5" i="8"/>
  <c r="D5" i="7"/>
</calcChain>
</file>

<file path=xl/sharedStrings.xml><?xml version="1.0" encoding="utf-8"?>
<sst xmlns="http://schemas.openxmlformats.org/spreadsheetml/2006/main" count="2021" uniqueCount="320">
  <si>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</si>
  <si>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</si>
  <si>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</si>
  <si>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</si>
  <si>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</si>
  <si>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</si>
  <si>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</si>
  <si>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</si>
  <si>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</si>
  <si>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</si>
  <si>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</si>
  <si>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</si>
  <si>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</si>
  <si>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</si>
  <si>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</si>
  <si>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</si>
  <si>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</si>
  <si>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</si>
  <si>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</si>
  <si>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</si>
  <si>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</si>
  <si>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</si>
  <si>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</si>
  <si>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</si>
  <si>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</si>
  <si>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</si>
  <si>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</si>
  <si>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</si>
  <si>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</si>
  <si>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</si>
  <si>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</si>
  <si>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</si>
  <si>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</si>
  <si>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</si>
  <si>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</si>
  <si>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</si>
  <si>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</si>
  <si>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</si>
  <si>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</si>
  <si>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</si>
  <si>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</si>
  <si>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</si>
  <si>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</si>
  <si>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</si>
  <si>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</si>
  <si>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</si>
  <si>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</si>
  <si>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</si>
  <si>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</si>
  <si>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</si>
  <si>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</si>
  <si>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</si>
  <si>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</si>
  <si>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</si>
  <si>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</si>
  <si>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</si>
  <si>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</si>
  <si>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</si>
  <si>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</si>
  <si>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</si>
  <si>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</si>
  <si>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</si>
  <si>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</si>
  <si>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</si>
  <si>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</si>
  <si>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</si>
  <si>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</si>
  <si>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</si>
  <si>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</si>
  <si>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</si>
  <si>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</si>
  <si>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</si>
  <si>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</si>
  <si>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</si>
  <si>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</si>
  <si>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</si>
  <si>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</si>
  <si>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</si>
  <si>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</si>
  <si>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</si>
  <si>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</si>
  <si>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</si>
  <si>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</si>
  <si>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</si>
  <si>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</si>
  <si>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</si>
  <si>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</si>
  <si>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</si>
  <si>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</si>
  <si>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</si>
  <si>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</si>
  <si>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</si>
  <si>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</si>
  <si>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</si>
  <si>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</si>
  <si>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</si>
  <si>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</si>
  <si>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</si>
  <si>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</si>
  <si>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</si>
  <si>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</si>
  <si>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</si>
  <si>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</si>
  <si>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</si>
  <si>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</si>
  <si>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</si>
  <si>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</si>
  <si>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</si>
  <si>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</si>
  <si>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</si>
  <si>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</si>
  <si>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</si>
  <si>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</si>
  <si>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</si>
  <si>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</si>
  <si>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</si>
  <si>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</si>
  <si>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</si>
  <si>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</si>
  <si>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</si>
  <si>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</si>
  <si>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</si>
  <si>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</si>
  <si>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</si>
  <si>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</si>
  <si>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</si>
  <si>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</si>
  <si>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</si>
  <si>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</si>
  <si>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</si>
  <si>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</si>
  <si>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</si>
  <si>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</si>
  <si>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</si>
  <si>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</si>
  <si>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</si>
  <si>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</si>
  <si>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</si>
  <si>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</si>
  <si>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</si>
  <si>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</si>
  <si>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</si>
  <si>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</si>
  <si>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</si>
  <si>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</si>
  <si>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</si>
  <si>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</si>
  <si>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</si>
  <si>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</si>
  <si>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</si>
  <si>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</si>
  <si>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</si>
  <si>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</si>
  <si>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</si>
  <si>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</si>
  <si>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</si>
  <si>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</si>
  <si>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</si>
  <si>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</si>
  <si>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</si>
  <si>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</si>
  <si>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</si>
  <si>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</si>
  <si>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</si>
  <si>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</si>
  <si>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</si>
  <si>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</si>
  <si>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</si>
  <si>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</si>
  <si>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</si>
  <si>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</si>
  <si>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</si>
  <si>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</si>
  <si>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</si>
  <si>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</si>
  <si>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</si>
  <si>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</si>
  <si>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</si>
  <si>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</si>
  <si>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</si>
  <si>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</si>
  <si>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</si>
  <si>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</si>
  <si>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</si>
  <si>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</si>
  <si>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</si>
  <si>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</si>
  <si>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</si>
  <si>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</si>
  <si>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</si>
  <si>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</si>
  <si>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</si>
  <si>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</si>
  <si>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</si>
  <si>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</si>
  <si>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</si>
  <si>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</si>
  <si>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</si>
  <si>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</si>
  <si>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</si>
  <si>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</si>
  <si>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</si>
  <si>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</si>
  <si>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</si>
  <si>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</si>
  <si>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</si>
  <si>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</si>
  <si>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</si>
  <si>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</si>
  <si>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</si>
  <si>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</si>
  <si>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</si>
  <si>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</si>
  <si>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</si>
  <si>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</si>
  <si>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</si>
  <si>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</si>
  <si>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</si>
  <si>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</si>
  <si>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</si>
  <si>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</si>
  <si>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</si>
  <si>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</si>
  <si>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</si>
  <si>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</si>
  <si>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</si>
  <si>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</si>
  <si>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</si>
  <si>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</si>
  <si>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</si>
  <si>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</si>
  <si>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</si>
  <si>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</si>
  <si>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</si>
  <si>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</si>
  <si>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</si>
  <si>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</si>
  <si>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</si>
  <si>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</si>
  <si>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</si>
  <si>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</si>
  <si>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</si>
  <si>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</si>
  <si>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</si>
  <si>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</si>
  <si>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</si>
  <si>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</si>
  <si>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</si>
  <si>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</si>
  <si>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</si>
  <si>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</si>
  <si>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</si>
  <si>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</si>
  <si>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</si>
  <si>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</si>
  <si>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</si>
  <si>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</si>
  <si>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</si>
  <si>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</si>
  <si>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</si>
  <si>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</si>
  <si>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</si>
  <si>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</si>
  <si>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</si>
  <si>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</si>
  <si>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</si>
  <si>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</si>
  <si>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</si>
  <si>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</si>
  <si>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</si>
  <si>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</si>
  <si>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</si>
  <si>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</si>
  <si>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</si>
  <si>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</si>
  <si>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</si>
  <si>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</si>
  <si>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</si>
  <si>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</si>
  <si>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</si>
  <si>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</si>
  <si>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</si>
  <si>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</si>
  <si>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</si>
  <si>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</si>
  <si>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</si>
  <si>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</si>
  <si>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</si>
  <si>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</si>
  <si>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</si>
  <si>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</si>
  <si>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</si>
  <si>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</si>
  <si>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</si>
  <si>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</si>
  <si>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</si>
  <si>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</si>
  <si>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</si>
  <si>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</si>
  <si>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</si>
  <si>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</si>
  <si>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</si>
  <si>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</si>
  <si>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</si>
  <si>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</si>
  <si>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</si>
  <si>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</si>
  <si>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</si>
  <si>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</si>
  <si>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</si>
  <si>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</si>
  <si>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</si>
  <si>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</si>
  <si>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</si>
  <si>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</si>
  <si>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</si>
  <si>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 xml:space="preserve"> XBOX GAME PASS SUBSCRIPTIONS SALES</t>
  </si>
  <si>
    <t>ANNUAL</t>
  </si>
  <si>
    <t>OTHERS</t>
  </si>
  <si>
    <t>&gt; Bem vinda, 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</si>
</sst>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22C55E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44" fontId="0" fillId="0" borderId="0" xfId="0" applyNumberFormat="1"/>
    <xf numFmtId="0" fontId="0" fillId="0" borderId="0" xfId="0" applyAlignment="1">
      <alignment horizontal="left"/>
    </xf>
    <xf numFmtId="0" fontId="0" fillId="8" borderId="0" xfId="0" applyFill="1"/>
    <xf numFmtId="0" fontId="4" fillId="8" borderId="0" xfId="0" applyFont="1" applyFill="1"/>
    <xf numFmtId="44" fontId="0" fillId="7" borderId="0" xfId="2" applyFont="1" applyFill="1"/>
    <xf numFmtId="44" fontId="0" fillId="0" borderId="0" xfId="2" applyFont="1"/>
    <xf numFmtId="0" fontId="5" fillId="4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9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'2'!$D$4:$D$5</c:f>
              <c:strCache>
                <c:ptCount val="2"/>
                <c:pt idx="0">
                  <c:v>OTHERS</c:v>
                </c:pt>
                <c:pt idx="1">
                  <c:v>ANNUAL</c:v>
                </c:pt>
              </c:strCache>
            </c:strRef>
          </c:cat>
          <c:val>
            <c:numRef>
              <c:f>'2'!$E$4:$E$5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7-4C00-987E-6E4C4B292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2542239"/>
        <c:axId val="962560479"/>
      </c:barChart>
      <c:catAx>
        <c:axId val="962542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2560479"/>
        <c:crosses val="autoZero"/>
        <c:auto val="1"/>
        <c:lblAlgn val="ctr"/>
        <c:lblOffset val="100"/>
        <c:noMultiLvlLbl val="0"/>
      </c:catAx>
      <c:valAx>
        <c:axId val="96256047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6254223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8.png"/><Relationship Id="rId7" Type="http://schemas.openxmlformats.org/officeDocument/2006/relationships/chart" Target="../charts/chart1.xml"/><Relationship Id="rId2" Type="http://schemas.openxmlformats.org/officeDocument/2006/relationships/image" Target="../media/image5.png"/><Relationship Id="rId1" Type="http://schemas.openxmlformats.org/officeDocument/2006/relationships/image" Target="../media/image7.png"/><Relationship Id="rId6" Type="http://schemas.openxmlformats.org/officeDocument/2006/relationships/image" Target="../media/image2.png"/><Relationship Id="rId5" Type="http://schemas.openxmlformats.org/officeDocument/2006/relationships/image" Target="../media/image10.svg"/><Relationship Id="rId10" Type="http://schemas.openxmlformats.org/officeDocument/2006/relationships/image" Target="../media/image4.svg"/><Relationship Id="rId4" Type="http://schemas.openxmlformats.org/officeDocument/2006/relationships/image" Target="../media/image9.png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15875</xdr:colOff>
      <xdr:row>7</xdr:row>
      <xdr:rowOff>95249</xdr:rowOff>
    </xdr:from>
    <xdr:to>
      <xdr:col>11</xdr:col>
      <xdr:colOff>171451</xdr:colOff>
      <xdr:row>16</xdr:row>
      <xdr:rowOff>3968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2B8722B1-B8D5-4639-9AEB-A825AE84D7AD}"/>
            </a:ext>
          </a:extLst>
        </xdr:cNvPr>
        <xdr:cNvGrpSpPr/>
      </xdr:nvGrpSpPr>
      <xdr:grpSpPr>
        <a:xfrm>
          <a:off x="2881313" y="1262062"/>
          <a:ext cx="4672013" cy="1607344"/>
          <a:chOff x="2095500" y="1143000"/>
          <a:chExt cx="4655344" cy="1647825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ABB1B2A9-E833-1CF0-92DC-67DE4A73F74E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R$    7.633,00 </a:t>
            </a:r>
            <a:endParaRPr lang="pt-BR" sz="1100" kern="1200"/>
          </a:p>
        </xdr:txBody>
      </xdr:sp>
      <xdr:sp macro="" textlink="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DC249EF3-059D-4D93-94B3-C1A2395C103A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t>  </a:t>
            </a:r>
          </a:p>
        </xdr:txBody>
      </xdr:sp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35B9EC33-B540-ACBF-D396-111147FE5B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3C890B1D-2BF5-D384-BBAC-4B13B5B3402E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0</xdr:col>
      <xdr:colOff>468312</xdr:colOff>
      <xdr:row>4</xdr:row>
      <xdr:rowOff>23811</xdr:rowOff>
    </xdr:from>
    <xdr:to>
      <xdr:col>1</xdr:col>
      <xdr:colOff>230188</xdr:colOff>
      <xdr:row>10</xdr:row>
      <xdr:rowOff>111124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13281DC7-C0FD-427D-8C52-3E6ACC112C83}"/>
            </a:ext>
          </a:extLst>
        </xdr:cNvPr>
        <xdr:cNvSpPr/>
      </xdr:nvSpPr>
      <xdr:spPr>
        <a:xfrm>
          <a:off x="468312" y="754061"/>
          <a:ext cx="1158876" cy="1071563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12</xdr:col>
      <xdr:colOff>277813</xdr:colOff>
      <xdr:row>7</xdr:row>
      <xdr:rowOff>71437</xdr:rowOff>
    </xdr:from>
    <xdr:to>
      <xdr:col>20</xdr:col>
      <xdr:colOff>76994</xdr:colOff>
      <xdr:row>15</xdr:row>
      <xdr:rowOff>142081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73AC5469-C605-40B8-8B2A-33BD80D87C2A}"/>
            </a:ext>
          </a:extLst>
        </xdr:cNvPr>
        <xdr:cNvGrpSpPr/>
      </xdr:nvGrpSpPr>
      <xdr:grpSpPr>
        <a:xfrm>
          <a:off x="8120063" y="1238250"/>
          <a:ext cx="4688681" cy="1586706"/>
          <a:chOff x="7534275" y="1247775"/>
          <a:chExt cx="4655344" cy="1571625"/>
        </a:xfrm>
      </xdr:grpSpPr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C1E6F4C6-BAF6-7F18-F427-9533CDC8E271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7" name="Retângulo: Cantos Arredondados 26">
              <a:extLst>
                <a:ext uri="{FF2B5EF4-FFF2-40B4-BE49-F238E27FC236}">
                  <a16:creationId xmlns:a16="http://schemas.microsoft.com/office/drawing/2014/main" id="{A89CE040-C837-E2EB-EADF-7EE79E1AEBA2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28" name="Retângulo: Cantos Arredondados 27">
              <a:extLst>
                <a:ext uri="{FF2B5EF4-FFF2-40B4-BE49-F238E27FC236}">
                  <a16:creationId xmlns:a16="http://schemas.microsoft.com/office/drawing/2014/main" id="{673E17BD-F6AF-0C1C-35D8-B41C8528DD22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3600" b="0" i="0" u="none" strike="noStrike" kern="1200">
                <a:solidFill>
                  <a:srgbClr val="22C55E"/>
                </a:solidFill>
                <a:latin typeface="Aptos Narrow"/>
              </a:endParaRPr>
            </a:p>
          </xdr:txBody>
        </xdr:sp>
        <xdr:sp macro="" textlink="">
          <xdr:nvSpPr>
            <xdr:cNvPr id="29" name="Retângulo: Cantos Superiores Arredondados 28">
              <a:extLst>
                <a:ext uri="{FF2B5EF4-FFF2-40B4-BE49-F238E27FC236}">
                  <a16:creationId xmlns:a16="http://schemas.microsoft.com/office/drawing/2014/main" id="{307451EF-A2DD-8294-7A06-98CE456DE436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E2A7B368-EAD3-04C2-89A5-8912DE0DA934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5" name="Imagem 24">
              <a:extLst>
                <a:ext uri="{FF2B5EF4-FFF2-40B4-BE49-F238E27FC236}">
                  <a16:creationId xmlns:a16="http://schemas.microsoft.com/office/drawing/2014/main" id="{042BECAF-0AF9-D2A7-FB18-8FF4109E3C9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6" name="Gráfico 25">
              <a:extLst>
                <a:ext uri="{FF2B5EF4-FFF2-40B4-BE49-F238E27FC236}">
                  <a16:creationId xmlns:a16="http://schemas.microsoft.com/office/drawing/2014/main" id="{EEE7B261-1EE9-DC4F-8473-BD9F8D70331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3</xdr:col>
      <xdr:colOff>468313</xdr:colOff>
      <xdr:row>0</xdr:row>
      <xdr:rowOff>63501</xdr:rowOff>
    </xdr:from>
    <xdr:to>
      <xdr:col>4</xdr:col>
      <xdr:colOff>541805</xdr:colOff>
      <xdr:row>4</xdr:row>
      <xdr:rowOff>117633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04C5D53A-F381-4CED-B147-8C4E7B1724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2722563" y="63501"/>
          <a:ext cx="684680" cy="784382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17</xdr:row>
      <xdr:rowOff>174625</xdr:rowOff>
    </xdr:from>
    <xdr:to>
      <xdr:col>28</xdr:col>
      <xdr:colOff>277813</xdr:colOff>
      <xdr:row>35</xdr:row>
      <xdr:rowOff>78581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758E1089-D67A-4D94-85B7-8FC2DA53FFF0}"/>
            </a:ext>
          </a:extLst>
        </xdr:cNvPr>
        <xdr:cNvGrpSpPr/>
      </xdr:nvGrpSpPr>
      <xdr:grpSpPr>
        <a:xfrm>
          <a:off x="2865438" y="3222625"/>
          <a:ext cx="15033625" cy="3190081"/>
          <a:chOff x="2083594" y="3178969"/>
          <a:chExt cx="10298906" cy="3298031"/>
        </a:xfrm>
      </xdr:grpSpPr>
      <xdr:grpSp>
        <xdr:nvGrpSpPr>
          <xdr:cNvPr id="32" name="Agrupar 31">
            <a:extLst>
              <a:ext uri="{FF2B5EF4-FFF2-40B4-BE49-F238E27FC236}">
                <a16:creationId xmlns:a16="http://schemas.microsoft.com/office/drawing/2014/main" id="{0D13A946-16D4-2695-08C3-3FC2D57BB0E2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34" name="Retângulo: Cantos Arredondados 33">
              <a:extLst>
                <a:ext uri="{FF2B5EF4-FFF2-40B4-BE49-F238E27FC236}">
                  <a16:creationId xmlns:a16="http://schemas.microsoft.com/office/drawing/2014/main" id="{0F184909-D0A3-F6C9-EB55-F5667195A965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35" name="Gráfico 34">
              <a:extLst>
                <a:ext uri="{FF2B5EF4-FFF2-40B4-BE49-F238E27FC236}">
                  <a16:creationId xmlns:a16="http://schemas.microsoft.com/office/drawing/2014/main" id="{256D8E51-31B2-8A5D-4412-4A369EDB2517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  <xdr:sp macro="" textlink="">
        <xdr:nvSpPr>
          <xdr:cNvPr id="33" name="Retângulo: Cantos Superiores Arredondados 32">
            <a:extLst>
              <a:ext uri="{FF2B5EF4-FFF2-40B4-BE49-F238E27FC236}">
                <a16:creationId xmlns:a16="http://schemas.microsoft.com/office/drawing/2014/main" id="{EB134D16-F5B5-C98B-94D9-03958AF37848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20</xdr:col>
      <xdr:colOff>422275</xdr:colOff>
      <xdr:row>7</xdr:row>
      <xdr:rowOff>65087</xdr:rowOff>
    </xdr:from>
    <xdr:to>
      <xdr:col>28</xdr:col>
      <xdr:colOff>221456</xdr:colOff>
      <xdr:row>15</xdr:row>
      <xdr:rowOff>135732</xdr:rowOff>
    </xdr:to>
    <xdr:grpSp>
      <xdr:nvGrpSpPr>
        <xdr:cNvPr id="51" name="Agrupar 50">
          <a:extLst>
            <a:ext uri="{FF2B5EF4-FFF2-40B4-BE49-F238E27FC236}">
              <a16:creationId xmlns:a16="http://schemas.microsoft.com/office/drawing/2014/main" id="{8ECD4DED-1AF2-7BEA-96DC-8A12B35B84EA}"/>
            </a:ext>
          </a:extLst>
        </xdr:cNvPr>
        <xdr:cNvGrpSpPr/>
      </xdr:nvGrpSpPr>
      <xdr:grpSpPr>
        <a:xfrm>
          <a:off x="13154025" y="1231900"/>
          <a:ext cx="4688681" cy="1586707"/>
          <a:chOff x="2095500" y="1142999"/>
          <a:chExt cx="4655344" cy="1571626"/>
        </a:xfrm>
      </xdr:grpSpPr>
      <xdr:sp macro="" textlink="">
        <xdr:nvSpPr>
          <xdr:cNvPr id="55" name="Retângulo: Cantos Arredondados 54">
            <a:extLst>
              <a:ext uri="{FF2B5EF4-FFF2-40B4-BE49-F238E27FC236}">
                <a16:creationId xmlns:a16="http://schemas.microsoft.com/office/drawing/2014/main" id="{633FC026-A1C7-43A1-1042-49C0EEA5A095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56" name="Retângulo: Cantos Arredondados 55">
            <a:extLst>
              <a:ext uri="{FF2B5EF4-FFF2-40B4-BE49-F238E27FC236}">
                <a16:creationId xmlns:a16="http://schemas.microsoft.com/office/drawing/2014/main" id="{9C4FBC6C-3EFD-B0D8-CCB7-27FC9ED9555D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3600" b="0" i="0" u="none" strike="noStrike" kern="1200">
              <a:solidFill>
                <a:srgbClr val="22C55E"/>
              </a:solidFill>
              <a:latin typeface="Aptos Narrow"/>
            </a:endParaRPr>
          </a:p>
        </xdr:txBody>
      </xdr:sp>
      <xdr:sp macro="" textlink="">
        <xdr:nvSpPr>
          <xdr:cNvPr id="57" name="Retângulo: Cantos Superiores Arredondados 56">
            <a:extLst>
              <a:ext uri="{FF2B5EF4-FFF2-40B4-BE49-F238E27FC236}">
                <a16:creationId xmlns:a16="http://schemas.microsoft.com/office/drawing/2014/main" id="{EFEFCDFD-A849-B4C5-8B9A-34BF34A4D38A}"/>
              </a:ext>
            </a:extLst>
          </xdr:cNvPr>
          <xdr:cNvSpPr/>
        </xdr:nvSpPr>
        <xdr:spPr>
          <a:xfrm>
            <a:off x="2095500" y="1142999"/>
            <a:ext cx="4655344" cy="45243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ANNUAL</a:t>
            </a:r>
          </a:p>
        </xdr:txBody>
      </xdr:sp>
    </xdr:grpSp>
    <xdr:clientData/>
  </xdr:twoCellAnchor>
  <xdr:twoCellAnchor editAs="absolute">
    <xdr:from>
      <xdr:col>21</xdr:col>
      <xdr:colOff>33337</xdr:colOff>
      <xdr:row>10</xdr:row>
      <xdr:rowOff>80963</xdr:rowOff>
    </xdr:from>
    <xdr:to>
      <xdr:col>22</xdr:col>
      <xdr:colOff>106830</xdr:colOff>
      <xdr:row>14</xdr:row>
      <xdr:rowOff>79532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748430FD-43F3-4D77-84A3-8E1B9B2492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3376275" y="1795463"/>
          <a:ext cx="684680" cy="784382"/>
        </a:xfrm>
        <a:prstGeom prst="rect">
          <a:avLst/>
        </a:prstGeom>
      </xdr:spPr>
    </xdr:pic>
    <xdr:clientData/>
  </xdr:twoCellAnchor>
  <xdr:oneCellAnchor>
    <xdr:from>
      <xdr:col>6</xdr:col>
      <xdr:colOff>492125</xdr:colOff>
      <xdr:row>11</xdr:row>
      <xdr:rowOff>103187</xdr:rowOff>
    </xdr:from>
    <xdr:ext cx="1782860" cy="468013"/>
    <xdr:sp macro="" textlink="'3'!D5">
      <xdr:nvSpPr>
        <xdr:cNvPr id="59" name="CaixaDeTexto 58">
          <a:extLst>
            <a:ext uri="{FF2B5EF4-FFF2-40B4-BE49-F238E27FC236}">
              <a16:creationId xmlns:a16="http://schemas.microsoft.com/office/drawing/2014/main" id="{FF42C1EA-D1B5-B98C-A43A-EFDBC1A11177}"/>
            </a:ext>
          </a:extLst>
        </xdr:cNvPr>
        <xdr:cNvSpPr txBox="1"/>
      </xdr:nvSpPr>
      <xdr:spPr>
        <a:xfrm>
          <a:off x="4579938" y="2000250"/>
          <a:ext cx="178286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A10E4F38-8046-4435-B9BC-9CE5A89EDB51}" type="TxLink">
            <a:rPr lang="en-US" sz="2400" b="1" i="0" u="none" strike="noStrike" baseline="0">
              <a:solidFill>
                <a:srgbClr val="22C55E"/>
              </a:solidFill>
              <a:latin typeface="Aptos Narrow"/>
            </a:rPr>
            <a:t> R$ 1.186,00 </a:t>
          </a:fld>
          <a:endParaRPr lang="pt-BR" sz="2400" b="1" baseline="0">
            <a:solidFill>
              <a:srgbClr val="22C55E"/>
            </a:solidFill>
          </a:endParaRPr>
        </a:p>
      </xdr:txBody>
    </xdr:sp>
    <xdr:clientData/>
  </xdr:oneCellAnchor>
  <xdr:oneCellAnchor>
    <xdr:from>
      <xdr:col>15</xdr:col>
      <xdr:colOff>174626</xdr:colOff>
      <xdr:row>11</xdr:row>
      <xdr:rowOff>119063</xdr:rowOff>
    </xdr:from>
    <xdr:ext cx="1782860" cy="468013"/>
    <xdr:sp macro="" textlink="'4'!D5">
      <xdr:nvSpPr>
        <xdr:cNvPr id="60" name="CaixaDeTexto 59">
          <a:extLst>
            <a:ext uri="{FF2B5EF4-FFF2-40B4-BE49-F238E27FC236}">
              <a16:creationId xmlns:a16="http://schemas.microsoft.com/office/drawing/2014/main" id="{077D6159-56BF-6625-CCB1-3B5547F02C8F}"/>
            </a:ext>
          </a:extLst>
        </xdr:cNvPr>
        <xdr:cNvSpPr txBox="1"/>
      </xdr:nvSpPr>
      <xdr:spPr>
        <a:xfrm>
          <a:off x="9850439" y="2016126"/>
          <a:ext cx="178286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EB29D7D-16CD-403D-9563-51039ED8BE97}" type="TxLink">
            <a:rPr lang="en-US" sz="2400" b="1" i="0" u="none" strike="noStrike">
              <a:solidFill>
                <a:srgbClr val="22C55E"/>
              </a:solidFill>
              <a:latin typeface="Aptos Narrow"/>
            </a:rPr>
            <a:t> R$ 1.634,00 </a:t>
          </a:fld>
          <a:endParaRPr lang="pt-BR" sz="2400" b="1">
            <a:solidFill>
              <a:srgbClr val="22C55E"/>
            </a:solidFill>
          </a:endParaRPr>
        </a:p>
      </xdr:txBody>
    </xdr:sp>
    <xdr:clientData/>
  </xdr:oneCellAnchor>
  <xdr:oneCellAnchor>
    <xdr:from>
      <xdr:col>23</xdr:col>
      <xdr:colOff>63499</xdr:colOff>
      <xdr:row>11</xdr:row>
      <xdr:rowOff>47625</xdr:rowOff>
    </xdr:from>
    <xdr:ext cx="1782860" cy="468013"/>
    <xdr:sp macro="" textlink="'1'!C4">
      <xdr:nvSpPr>
        <xdr:cNvPr id="63" name="CaixaDeTexto 62">
          <a:extLst>
            <a:ext uri="{FF2B5EF4-FFF2-40B4-BE49-F238E27FC236}">
              <a16:creationId xmlns:a16="http://schemas.microsoft.com/office/drawing/2014/main" id="{5C3F5DF7-8363-B0CB-E474-C217635D1DC2}"/>
            </a:ext>
          </a:extLst>
        </xdr:cNvPr>
        <xdr:cNvSpPr txBox="1"/>
      </xdr:nvSpPr>
      <xdr:spPr>
        <a:xfrm>
          <a:off x="14628812" y="1944688"/>
          <a:ext cx="178286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CC48A78-1657-47F0-A188-8B118A69B522}" type="TxLink">
            <a:rPr lang="en-US" sz="2400" b="1" i="0" u="none" strike="noStrike">
              <a:solidFill>
                <a:srgbClr val="22C55E"/>
              </a:solidFill>
              <a:latin typeface="Aptos Narrow"/>
            </a:rPr>
            <a:t> R$ 1.754,00 </a:t>
          </a:fld>
          <a:endParaRPr lang="pt-BR" sz="2400" b="1">
            <a:solidFill>
              <a:srgbClr val="22C55E"/>
            </a:solidFill>
          </a:endParaRPr>
        </a:p>
      </xdr:txBody>
    </xdr:sp>
    <xdr:clientData/>
  </xdr:oneCellAnchor>
  <xdr:twoCellAnchor>
    <xdr:from>
      <xdr:col>4</xdr:col>
      <xdr:colOff>476251</xdr:colOff>
      <xdr:row>21</xdr:row>
      <xdr:rowOff>158747</xdr:rowOff>
    </xdr:from>
    <xdr:to>
      <xdr:col>27</xdr:col>
      <xdr:colOff>333375</xdr:colOff>
      <xdr:row>33</xdr:row>
      <xdr:rowOff>127000</xdr:rowOff>
    </xdr:to>
    <xdr:graphicFrame macro="">
      <xdr:nvGraphicFramePr>
        <xdr:cNvPr id="64" name="Gráfico 63">
          <a:extLst>
            <a:ext uri="{FF2B5EF4-FFF2-40B4-BE49-F238E27FC236}">
              <a16:creationId xmlns:a16="http://schemas.microsoft.com/office/drawing/2014/main" id="{23E6249E-A7A6-4D62-BC44-1062B2765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3</xdr:col>
      <xdr:colOff>555625</xdr:colOff>
      <xdr:row>5</xdr:row>
      <xdr:rowOff>111125</xdr:rowOff>
    </xdr:from>
    <xdr:ext cx="4258730" cy="264560"/>
    <xdr:sp macro="" textlink="">
      <xdr:nvSpPr>
        <xdr:cNvPr id="65" name="CaixaDeTexto 64">
          <a:extLst>
            <a:ext uri="{FF2B5EF4-FFF2-40B4-BE49-F238E27FC236}">
              <a16:creationId xmlns:a16="http://schemas.microsoft.com/office/drawing/2014/main" id="{0A3F9C18-E0E6-AA00-CF90-542F2377C3CC}"/>
            </a:ext>
          </a:extLst>
        </xdr:cNvPr>
        <xdr:cNvSpPr txBox="1"/>
      </xdr:nvSpPr>
      <xdr:spPr>
        <a:xfrm>
          <a:off x="2809875" y="976313"/>
          <a:ext cx="425873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Calculation period: 01/01/2024 - 31/12/2024 | Update date: 14/01/2026</a:t>
          </a:r>
          <a:endParaRPr lang="pt-BR" sz="1100">
            <a:solidFill>
              <a:schemeClr val="bg2">
                <a:lumMod val="50000"/>
              </a:schemeClr>
            </a:solidFill>
          </a:endParaRPr>
        </a:p>
      </xdr:txBody>
    </xdr:sp>
    <xdr:clientData/>
  </xdr:oneCellAnchor>
  <xdr:twoCellAnchor editAs="oneCell">
    <xdr:from>
      <xdr:col>2</xdr:col>
      <xdr:colOff>111124</xdr:colOff>
      <xdr:row>11</xdr:row>
      <xdr:rowOff>15874</xdr:rowOff>
    </xdr:from>
    <xdr:to>
      <xdr:col>2</xdr:col>
      <xdr:colOff>349249</xdr:colOff>
      <xdr:row>12</xdr:row>
      <xdr:rowOff>9524</xdr:rowOff>
    </xdr:to>
    <xdr:pic>
      <xdr:nvPicPr>
        <xdr:cNvPr id="66" name="Gráfico 65" descr="Lupa com preenchimento sólido">
          <a:extLst>
            <a:ext uri="{FF2B5EF4-FFF2-40B4-BE49-F238E27FC236}">
              <a16:creationId xmlns:a16="http://schemas.microsoft.com/office/drawing/2014/main" id="{45469F3A-D9F4-4633-9EEC-208014A00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754187" y="1912937"/>
          <a:ext cx="238125" cy="231775"/>
        </a:xfrm>
        <a:prstGeom prst="rect">
          <a:avLst/>
        </a:prstGeom>
      </xdr:spPr>
    </xdr:pic>
    <xdr:clientData/>
  </xdr:twoCellAnchor>
  <xdr:twoCellAnchor editAs="oneCell">
    <xdr:from>
      <xdr:col>0</xdr:col>
      <xdr:colOff>230187</xdr:colOff>
      <xdr:row>12</xdr:row>
      <xdr:rowOff>166687</xdr:rowOff>
    </xdr:from>
    <xdr:to>
      <xdr:col>2</xdr:col>
      <xdr:colOff>415924</xdr:colOff>
      <xdr:row>21</xdr:row>
      <xdr:rowOff>119063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7" name="Subscription Type">
              <a:extLst>
                <a:ext uri="{FF2B5EF4-FFF2-40B4-BE49-F238E27FC236}">
                  <a16:creationId xmlns:a16="http://schemas.microsoft.com/office/drawing/2014/main" id="{1360AD6F-6DDE-42C1-9E8B-ECCBE8F6B5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187" y="2301875"/>
              <a:ext cx="1828800" cy="159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 Coelho" refreshedDate="46036.896329629628" createdVersion="8" refreshedVersion="8" minRefreshableVersion="3" recordCount="296" xr:uid="{24A2F3C0-CFEE-4752-B567-E9E273D23703}">
  <cacheSource type="worksheet">
    <worksheetSource ref="A1:M1048576" sheet="B̳ases"/>
  </cacheSource>
  <cacheFields count="13">
    <cacheField name="Subscriber ID" numFmtId="0">
      <sharedItems containsString="0" containsBlank="1" containsNumber="1" containsInteger="1" minValue="3231" maxValue="3525"/>
    </cacheField>
    <cacheField name="Name" numFmtId="0">
      <sharedItems containsBlank="1"/>
    </cacheField>
    <cacheField name="Plan" numFmtId="0">
      <sharedItems containsBlank="1"/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 count="3">
        <s v="Yes"/>
        <s v="No"/>
        <m/>
      </sharedItems>
    </cacheField>
    <cacheField name="EA Play Season Pass_x000a_Price" numFmtId="0">
      <sharedItems containsBlank="1" containsMixedTypes="1" containsNumber="1" containsInteger="1" minValue="30" maxValue="30"/>
    </cacheField>
    <cacheField name="Minecraft Season Pass" numFmtId="0">
      <sharedItems containsBlank="1" count="3">
        <s v="Yes"/>
        <s v="No"/>
        <m/>
      </sharedItems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8164781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s v="João Silva"/>
    <s v="Ultimate"/>
    <d v="2024-01-01T00:00:00"/>
    <x v="0"/>
    <n v="15"/>
    <x v="0"/>
    <x v="0"/>
    <n v="30"/>
    <x v="0"/>
    <n v="20"/>
    <n v="5"/>
    <n v="60"/>
  </r>
  <r>
    <n v="3232"/>
    <s v="Maria Oliveira"/>
    <s v="Core"/>
    <d v="2024-01-15T00:00:00"/>
    <x v="1"/>
    <n v="5"/>
    <x v="1"/>
    <x v="1"/>
    <s v="-"/>
    <x v="1"/>
    <n v="0"/>
    <n v="0"/>
    <n v="5"/>
  </r>
  <r>
    <n v="3233"/>
    <s v="Lucas Fernandes"/>
    <s v="Standard"/>
    <d v="2024-02-10T00:00:00"/>
    <x v="0"/>
    <n v="10"/>
    <x v="2"/>
    <x v="1"/>
    <s v="-"/>
    <x v="0"/>
    <n v="20"/>
    <n v="10"/>
    <n v="20"/>
  </r>
  <r>
    <n v="3234"/>
    <s v="Ana Souza"/>
    <s v="Ultimate"/>
    <d v="2024-02-20T00:00:00"/>
    <x v="1"/>
    <n v="15"/>
    <x v="0"/>
    <x v="0"/>
    <n v="30"/>
    <x v="0"/>
    <n v="20"/>
    <n v="3"/>
    <n v="62"/>
  </r>
  <r>
    <n v="3235"/>
    <s v="Pedro Gonçalves"/>
    <s v="Core"/>
    <d v="2024-03-05T00:00:00"/>
    <x v="0"/>
    <n v="5"/>
    <x v="0"/>
    <x v="1"/>
    <s v="-"/>
    <x v="1"/>
    <n v="0"/>
    <n v="1"/>
    <n v="4"/>
  </r>
  <r>
    <n v="3236"/>
    <s v="Felipe Costa"/>
    <s v="Standard"/>
    <d v="2024-03-02T00:00:00"/>
    <x v="1"/>
    <n v="10"/>
    <x v="0"/>
    <x v="1"/>
    <s v="-"/>
    <x v="0"/>
    <n v="20"/>
    <n v="2"/>
    <n v="28"/>
  </r>
  <r>
    <n v="3237"/>
    <s v="Camila Ribeiro"/>
    <s v="Ultimate"/>
    <d v="2024-03-03T00:00:00"/>
    <x v="0"/>
    <n v="15"/>
    <x v="2"/>
    <x v="0"/>
    <n v="30"/>
    <x v="0"/>
    <n v="20"/>
    <n v="10"/>
    <n v="55"/>
  </r>
  <r>
    <n v="3238"/>
    <s v="André Mendes"/>
    <s v="Core"/>
    <d v="2024-03-04T00:00:00"/>
    <x v="0"/>
    <n v="5"/>
    <x v="1"/>
    <x v="1"/>
    <s v="-"/>
    <x v="1"/>
    <n v="0"/>
    <n v="0"/>
    <n v="5"/>
  </r>
  <r>
    <n v="3239"/>
    <s v="Sofia Almeida"/>
    <s v="Ultimate"/>
    <d v="2024-03-05T00:00:00"/>
    <x v="1"/>
    <n v="15"/>
    <x v="0"/>
    <x v="0"/>
    <n v="30"/>
    <x v="0"/>
    <n v="20"/>
    <n v="5"/>
    <n v="60"/>
  </r>
  <r>
    <n v="3240"/>
    <s v="Bruno Martins"/>
    <s v="Standard"/>
    <d v="2024-03-06T00:00:00"/>
    <x v="0"/>
    <n v="10"/>
    <x v="2"/>
    <x v="1"/>
    <s v="-"/>
    <x v="0"/>
    <n v="20"/>
    <n v="15"/>
    <n v="15"/>
  </r>
  <r>
    <n v="3241"/>
    <s v="Rita Castro"/>
    <s v="Core"/>
    <d v="2024-03-07T00:00:00"/>
    <x v="1"/>
    <n v="5"/>
    <x v="0"/>
    <x v="1"/>
    <s v="-"/>
    <x v="1"/>
    <n v="0"/>
    <n v="1"/>
    <n v="4"/>
  </r>
  <r>
    <n v="3242"/>
    <s v="Marco Túlio"/>
    <s v="Ultimate"/>
    <d v="2024-03-08T00:00:00"/>
    <x v="0"/>
    <n v="15"/>
    <x v="1"/>
    <x v="0"/>
    <n v="30"/>
    <x v="0"/>
    <n v="20"/>
    <n v="20"/>
    <n v="45"/>
  </r>
  <r>
    <n v="3243"/>
    <s v="Lívia Silveira"/>
    <s v="Standard"/>
    <d v="2024-03-09T00:00:00"/>
    <x v="1"/>
    <n v="10"/>
    <x v="0"/>
    <x v="1"/>
    <s v="-"/>
    <x v="0"/>
    <n v="20"/>
    <n v="10"/>
    <n v="20"/>
  </r>
  <r>
    <n v="3244"/>
    <s v="Diogo Sousa"/>
    <s v="Core"/>
    <d v="2024-03-10T00:00:00"/>
    <x v="0"/>
    <n v="5"/>
    <x v="2"/>
    <x v="1"/>
    <s v="-"/>
    <x v="1"/>
    <n v="0"/>
    <n v="0"/>
    <n v="5"/>
  </r>
  <r>
    <n v="3245"/>
    <s v="Fernanda Lima"/>
    <s v="Ultimate"/>
    <d v="2024-03-11T00:00:00"/>
    <x v="1"/>
    <n v="15"/>
    <x v="0"/>
    <x v="0"/>
    <n v="30"/>
    <x v="0"/>
    <n v="20"/>
    <n v="8"/>
    <n v="57"/>
  </r>
  <r>
    <n v="3246"/>
    <s v="Caio Pereira"/>
    <s v="Standard"/>
    <d v="2024-03-12T00:00:00"/>
    <x v="0"/>
    <n v="10"/>
    <x v="1"/>
    <x v="1"/>
    <s v="-"/>
    <x v="0"/>
    <n v="20"/>
    <n v="12"/>
    <n v="18"/>
  </r>
  <r>
    <n v="3247"/>
    <s v="Beatriz Gomes"/>
    <s v="Core"/>
    <d v="2024-03-13T00:00:00"/>
    <x v="1"/>
    <n v="5"/>
    <x v="0"/>
    <x v="1"/>
    <s v="-"/>
    <x v="1"/>
    <n v="0"/>
    <n v="2"/>
    <n v="3"/>
  </r>
  <r>
    <n v="3248"/>
    <s v="Cesar Oliveira"/>
    <s v="Ultimate"/>
    <d v="2024-03-14T00:00:00"/>
    <x v="0"/>
    <n v="15"/>
    <x v="2"/>
    <x v="0"/>
    <n v="30"/>
    <x v="0"/>
    <n v="20"/>
    <n v="7"/>
    <n v="58"/>
  </r>
  <r>
    <n v="3249"/>
    <s v="Débora Machado"/>
    <s v="Standard"/>
    <d v="2024-03-15T00:00:00"/>
    <x v="1"/>
    <n v="10"/>
    <x v="0"/>
    <x v="1"/>
    <s v="-"/>
    <x v="0"/>
    <n v="20"/>
    <n v="5"/>
    <n v="25"/>
  </r>
  <r>
    <n v="3250"/>
    <s v="Eduardo Vargas"/>
    <s v="Core"/>
    <d v="2024-03-16T00:00:00"/>
    <x v="0"/>
    <n v="5"/>
    <x v="1"/>
    <x v="1"/>
    <s v="-"/>
    <x v="1"/>
    <n v="0"/>
    <n v="0"/>
    <n v="5"/>
  </r>
  <r>
    <n v="3251"/>
    <s v="Gabriela Santos"/>
    <s v="Ultimate"/>
    <d v="2024-03-17T00:00:00"/>
    <x v="1"/>
    <n v="15"/>
    <x v="0"/>
    <x v="0"/>
    <n v="30"/>
    <x v="0"/>
    <n v="20"/>
    <n v="3"/>
    <n v="62"/>
  </r>
  <r>
    <n v="3252"/>
    <s v="Henrique Dias"/>
    <s v="Standard"/>
    <d v="2024-03-18T00:00:00"/>
    <x v="0"/>
    <n v="10"/>
    <x v="2"/>
    <x v="1"/>
    <s v="-"/>
    <x v="0"/>
    <n v="20"/>
    <n v="15"/>
    <n v="15"/>
  </r>
  <r>
    <n v="3253"/>
    <s v="Isabela Moreira"/>
    <s v="Core"/>
    <d v="2024-03-19T00:00:00"/>
    <x v="1"/>
    <n v="5"/>
    <x v="0"/>
    <x v="1"/>
    <s v="-"/>
    <x v="1"/>
    <n v="0"/>
    <n v="1"/>
    <n v="4"/>
  </r>
  <r>
    <n v="3254"/>
    <s v="Joaquim Barbosa"/>
    <s v="Ultimate"/>
    <d v="2024-03-20T00:00:00"/>
    <x v="0"/>
    <n v="15"/>
    <x v="1"/>
    <x v="0"/>
    <n v="30"/>
    <x v="0"/>
    <n v="20"/>
    <n v="20"/>
    <n v="45"/>
  </r>
  <r>
    <n v="3255"/>
    <s v="Lara Rocha"/>
    <s v="Standard"/>
    <d v="2024-03-21T00:00:00"/>
    <x v="1"/>
    <n v="10"/>
    <x v="0"/>
    <x v="1"/>
    <s v="-"/>
    <x v="0"/>
    <n v="20"/>
    <n v="10"/>
    <n v="20"/>
  </r>
  <r>
    <n v="3256"/>
    <s v="Matheus Silva"/>
    <s v="Core"/>
    <d v="2024-03-22T00:00:00"/>
    <x v="0"/>
    <n v="5"/>
    <x v="2"/>
    <x v="1"/>
    <s v="-"/>
    <x v="1"/>
    <n v="0"/>
    <n v="0"/>
    <n v="5"/>
  </r>
  <r>
    <n v="3257"/>
    <s v="Nicole Costa"/>
    <s v="Ultimate"/>
    <d v="2024-03-23T00:00:00"/>
    <x v="1"/>
    <n v="15"/>
    <x v="0"/>
    <x v="0"/>
    <n v="30"/>
    <x v="0"/>
    <n v="20"/>
    <n v="5"/>
    <n v="60"/>
  </r>
  <r>
    <n v="3258"/>
    <s v="Otávio Mendonça"/>
    <s v="Standard"/>
    <d v="2024-03-24T00:00:00"/>
    <x v="0"/>
    <n v="10"/>
    <x v="1"/>
    <x v="1"/>
    <s v="-"/>
    <x v="0"/>
    <n v="20"/>
    <n v="15"/>
    <n v="15"/>
  </r>
  <r>
    <n v="3259"/>
    <s v="Paula Ferreira"/>
    <s v="Core"/>
    <d v="2024-03-25T00:00:00"/>
    <x v="1"/>
    <n v="5"/>
    <x v="0"/>
    <x v="1"/>
    <s v="-"/>
    <x v="1"/>
    <n v="0"/>
    <n v="1"/>
    <n v="4"/>
  </r>
  <r>
    <n v="3260"/>
    <s v="Raquel Alves"/>
    <s v="Ultimate"/>
    <d v="2024-03-26T00:00:00"/>
    <x v="0"/>
    <n v="15"/>
    <x v="2"/>
    <x v="0"/>
    <n v="30"/>
    <x v="0"/>
    <n v="20"/>
    <n v="7"/>
    <n v="58"/>
  </r>
  <r>
    <n v="3261"/>
    <s v="Samuel Pires"/>
    <s v="Standard"/>
    <d v="2024-03-27T00:00:00"/>
    <x v="1"/>
    <n v="10"/>
    <x v="0"/>
    <x v="1"/>
    <s v="-"/>
    <x v="0"/>
    <n v="20"/>
    <n v="10"/>
    <n v="20"/>
  </r>
  <r>
    <n v="3262"/>
    <s v="Tânia Barros"/>
    <s v="Core"/>
    <d v="2024-03-28T00:00:00"/>
    <x v="0"/>
    <n v="5"/>
    <x v="1"/>
    <x v="1"/>
    <s v="-"/>
    <x v="1"/>
    <n v="0"/>
    <n v="0"/>
    <n v="5"/>
  </r>
  <r>
    <n v="3263"/>
    <s v="Vinicius Lima"/>
    <s v="Ultimate"/>
    <d v="2024-03-29T00:00:00"/>
    <x v="1"/>
    <n v="15"/>
    <x v="0"/>
    <x v="0"/>
    <n v="30"/>
    <x v="0"/>
    <n v="20"/>
    <n v="3"/>
    <n v="62"/>
  </r>
  <r>
    <n v="3264"/>
    <s v="Yasmin Teixeira"/>
    <s v="Standard"/>
    <d v="2024-03-30T00:00:00"/>
    <x v="0"/>
    <n v="10"/>
    <x v="2"/>
    <x v="1"/>
    <s v="-"/>
    <x v="0"/>
    <n v="20"/>
    <n v="15"/>
    <n v="15"/>
  </r>
  <r>
    <n v="3265"/>
    <s v="Zé Carlos"/>
    <s v="Core"/>
    <d v="2024-03-31T00:00:00"/>
    <x v="1"/>
    <n v="5"/>
    <x v="0"/>
    <x v="1"/>
    <s v="-"/>
    <x v="1"/>
    <n v="0"/>
    <n v="1"/>
    <n v="4"/>
  </r>
  <r>
    <n v="3266"/>
    <s v="Amanda Nogueira"/>
    <s v="Core"/>
    <d v="2024-04-01T00:00:00"/>
    <x v="0"/>
    <n v="5"/>
    <x v="0"/>
    <x v="1"/>
    <s v="-"/>
    <x v="1"/>
    <n v="0"/>
    <n v="0"/>
    <n v="5"/>
  </r>
  <r>
    <n v="3267"/>
    <s v="Bruno Cavalheiro"/>
    <s v="Ultimate"/>
    <d v="2024-04-02T00:00:00"/>
    <x v="1"/>
    <n v="15"/>
    <x v="2"/>
    <x v="0"/>
    <n v="30"/>
    <x v="0"/>
    <n v="20"/>
    <n v="7"/>
    <n v="58"/>
  </r>
  <r>
    <n v="3268"/>
    <s v="Carla Dias"/>
    <s v="Standard"/>
    <d v="2024-04-03T00:00:00"/>
    <x v="0"/>
    <n v="10"/>
    <x v="1"/>
    <x v="1"/>
    <s v="-"/>
    <x v="0"/>
    <n v="20"/>
    <n v="10"/>
    <n v="20"/>
  </r>
  <r>
    <n v="3269"/>
    <s v="Diego Fontes"/>
    <s v="Core"/>
    <d v="2024-04-04T00:00:00"/>
    <x v="1"/>
    <n v="5"/>
    <x v="2"/>
    <x v="1"/>
    <s v="-"/>
    <x v="1"/>
    <n v="0"/>
    <n v="1"/>
    <n v="4"/>
  </r>
  <r>
    <n v="3270"/>
    <s v="Eunice Lima"/>
    <s v="Ultimate"/>
    <d v="2024-04-05T00:00:00"/>
    <x v="0"/>
    <n v="15"/>
    <x v="0"/>
    <x v="0"/>
    <n v="30"/>
    <x v="0"/>
    <n v="20"/>
    <n v="15"/>
    <n v="50"/>
  </r>
  <r>
    <n v="3271"/>
    <s v="Fábio Martins"/>
    <s v="Standard"/>
    <d v="2024-04-06T00:00:00"/>
    <x v="1"/>
    <n v="10"/>
    <x v="0"/>
    <x v="1"/>
    <s v="-"/>
    <x v="0"/>
    <n v="20"/>
    <n v="5"/>
    <n v="25"/>
  </r>
  <r>
    <n v="3272"/>
    <s v="Gisele Araújo"/>
    <s v="Core"/>
    <d v="2024-04-07T00:00:00"/>
    <x v="0"/>
    <n v="5"/>
    <x v="1"/>
    <x v="1"/>
    <s v="-"/>
    <x v="1"/>
    <n v="0"/>
    <n v="0"/>
    <n v="5"/>
  </r>
  <r>
    <n v="3273"/>
    <s v="Hélio Castro"/>
    <s v="Ultimate"/>
    <d v="2024-04-08T00:00:00"/>
    <x v="1"/>
    <n v="15"/>
    <x v="2"/>
    <x v="0"/>
    <n v="30"/>
    <x v="0"/>
    <n v="20"/>
    <n v="20"/>
    <n v="45"/>
  </r>
  <r>
    <n v="3274"/>
    <s v="Ingrid Menezes"/>
    <s v="Standard"/>
    <d v="2024-04-09T00:00:00"/>
    <x v="0"/>
    <n v="10"/>
    <x v="2"/>
    <x v="1"/>
    <s v="-"/>
    <x v="0"/>
    <n v="20"/>
    <n v="12"/>
    <n v="18"/>
  </r>
  <r>
    <n v="3275"/>
    <s v="Jorge Baptista"/>
    <s v="Core"/>
    <d v="2024-04-10T00:00:00"/>
    <x v="1"/>
    <n v="5"/>
    <x v="0"/>
    <x v="1"/>
    <s v="-"/>
    <x v="1"/>
    <n v="0"/>
    <n v="2"/>
    <n v="3"/>
  </r>
  <r>
    <n v="3276"/>
    <s v="Kléber Oliveira"/>
    <s v="Ultimate"/>
    <d v="2024-04-11T00:00:00"/>
    <x v="0"/>
    <n v="15"/>
    <x v="1"/>
    <x v="0"/>
    <n v="30"/>
    <x v="0"/>
    <n v="20"/>
    <n v="5"/>
    <n v="60"/>
  </r>
  <r>
    <n v="3277"/>
    <s v="Luciana Freitas"/>
    <s v="Standard"/>
    <d v="2024-04-12T00:00:00"/>
    <x v="1"/>
    <n v="10"/>
    <x v="0"/>
    <x v="1"/>
    <s v="-"/>
    <x v="0"/>
    <n v="20"/>
    <n v="10"/>
    <n v="20"/>
  </r>
  <r>
    <n v="3278"/>
    <s v="Márcia Eller"/>
    <s v="Core"/>
    <d v="2024-04-13T00:00:00"/>
    <x v="0"/>
    <n v="5"/>
    <x v="2"/>
    <x v="1"/>
    <s v="-"/>
    <x v="1"/>
    <n v="0"/>
    <n v="0"/>
    <n v="5"/>
  </r>
  <r>
    <n v="3279"/>
    <s v="Nilo Peçanha"/>
    <s v="Ultimate"/>
    <d v="2024-04-14T00:00:00"/>
    <x v="1"/>
    <n v="15"/>
    <x v="0"/>
    <x v="0"/>
    <n v="30"/>
    <x v="0"/>
    <n v="20"/>
    <n v="3"/>
    <n v="62"/>
  </r>
  <r>
    <n v="3280"/>
    <s v="Oscar Neves"/>
    <s v="Standard"/>
    <d v="2024-04-15T00:00:00"/>
    <x v="0"/>
    <n v="10"/>
    <x v="1"/>
    <x v="1"/>
    <s v="-"/>
    <x v="0"/>
    <n v="20"/>
    <n v="15"/>
    <n v="15"/>
  </r>
  <r>
    <n v="3281"/>
    <s v="Patrícia Soares"/>
    <s v="Core"/>
    <d v="2024-04-16T00:00:00"/>
    <x v="1"/>
    <n v="5"/>
    <x v="0"/>
    <x v="1"/>
    <s v="-"/>
    <x v="1"/>
    <n v="0"/>
    <n v="1"/>
    <n v="4"/>
  </r>
  <r>
    <n v="3282"/>
    <s v="Quirino Gonçalves"/>
    <s v="Ultimate"/>
    <d v="2024-04-17T00:00:00"/>
    <x v="0"/>
    <n v="15"/>
    <x v="2"/>
    <x v="0"/>
    <n v="30"/>
    <x v="0"/>
    <n v="20"/>
    <n v="7"/>
    <n v="58"/>
  </r>
  <r>
    <n v="3283"/>
    <s v="Raul Machado"/>
    <s v="Standard"/>
    <d v="2024-04-18T00:00:00"/>
    <x v="1"/>
    <n v="10"/>
    <x v="0"/>
    <x v="1"/>
    <s v="-"/>
    <x v="0"/>
    <n v="20"/>
    <n v="10"/>
    <n v="20"/>
  </r>
  <r>
    <n v="3284"/>
    <s v="Sônia Lobo"/>
    <s v="Core"/>
    <d v="2024-04-19T00:00:00"/>
    <x v="0"/>
    <n v="5"/>
    <x v="1"/>
    <x v="1"/>
    <s v="-"/>
    <x v="1"/>
    <n v="0"/>
    <n v="0"/>
    <n v="5"/>
  </r>
  <r>
    <n v="3285"/>
    <s v="Tiago Ramos"/>
    <s v="Ultimate"/>
    <d v="2024-04-20T00:00:00"/>
    <x v="1"/>
    <n v="15"/>
    <x v="0"/>
    <x v="0"/>
    <n v="30"/>
    <x v="0"/>
    <n v="20"/>
    <n v="20"/>
    <n v="45"/>
  </r>
  <r>
    <n v="3286"/>
    <s v="Ugo Pires"/>
    <s v="Standard"/>
    <d v="2024-04-21T00:00:00"/>
    <x v="0"/>
    <n v="10"/>
    <x v="2"/>
    <x v="1"/>
    <s v="-"/>
    <x v="0"/>
    <n v="20"/>
    <n v="15"/>
    <n v="15"/>
  </r>
  <r>
    <n v="3287"/>
    <s v="Valéria Nobre"/>
    <s v="Core"/>
    <d v="2024-04-22T00:00:00"/>
    <x v="1"/>
    <n v="5"/>
    <x v="0"/>
    <x v="1"/>
    <s v="-"/>
    <x v="1"/>
    <n v="0"/>
    <n v="1"/>
    <n v="4"/>
  </r>
  <r>
    <n v="3288"/>
    <s v="William Siqueira"/>
    <s v="Ultimate"/>
    <d v="2024-04-23T00:00:00"/>
    <x v="0"/>
    <n v="15"/>
    <x v="1"/>
    <x v="0"/>
    <n v="30"/>
    <x v="0"/>
    <n v="20"/>
    <n v="3"/>
    <n v="62"/>
  </r>
  <r>
    <n v="3289"/>
    <s v="Xuxa Meneghel"/>
    <s v="Standard"/>
    <d v="2024-04-24T00:00:00"/>
    <x v="1"/>
    <n v="10"/>
    <x v="0"/>
    <x v="1"/>
    <s v="-"/>
    <x v="0"/>
    <n v="20"/>
    <n v="10"/>
    <n v="20"/>
  </r>
  <r>
    <n v="3290"/>
    <s v="Yara Figueiredo"/>
    <s v="Core"/>
    <d v="2024-04-25T00:00:00"/>
    <x v="0"/>
    <n v="5"/>
    <x v="2"/>
    <x v="1"/>
    <s v="-"/>
    <x v="1"/>
    <n v="0"/>
    <n v="0"/>
    <n v="5"/>
  </r>
  <r>
    <n v="3291"/>
    <s v="Zacarias Alves"/>
    <s v="Ultimate"/>
    <d v="2024-04-26T00:00:00"/>
    <x v="1"/>
    <n v="15"/>
    <x v="0"/>
    <x v="0"/>
    <n v="30"/>
    <x v="0"/>
    <n v="20"/>
    <n v="5"/>
    <n v="60"/>
  </r>
  <r>
    <n v="3292"/>
    <s v="Amanda Bynes"/>
    <s v="Standard"/>
    <d v="2024-04-27T00:00:00"/>
    <x v="0"/>
    <n v="10"/>
    <x v="1"/>
    <x v="1"/>
    <s v="-"/>
    <x v="0"/>
    <n v="20"/>
    <n v="15"/>
    <n v="15"/>
  </r>
  <r>
    <n v="3293"/>
    <s v="Bruno Mars"/>
    <s v="Core"/>
    <d v="2024-04-28T00:00:00"/>
    <x v="1"/>
    <n v="5"/>
    <x v="0"/>
    <x v="1"/>
    <s v="-"/>
    <x v="1"/>
    <n v="0"/>
    <n v="1"/>
    <n v="4"/>
  </r>
  <r>
    <n v="3294"/>
    <s v="Carla Bruni"/>
    <s v="Ultimate"/>
    <d v="2024-04-29T00:00:00"/>
    <x v="0"/>
    <n v="15"/>
    <x v="2"/>
    <x v="0"/>
    <n v="30"/>
    <x v="0"/>
    <n v="20"/>
    <n v="20"/>
    <n v="45"/>
  </r>
  <r>
    <n v="3295"/>
    <s v="Diego Maradona"/>
    <s v="Standard"/>
    <d v="2024-04-30T00:00:00"/>
    <x v="1"/>
    <n v="10"/>
    <x v="0"/>
    <x v="1"/>
    <s v="-"/>
    <x v="0"/>
    <n v="20"/>
    <n v="5"/>
    <n v="25"/>
  </r>
  <r>
    <n v="3296"/>
    <s v="Estela Marques"/>
    <s v="Core"/>
    <d v="2024-05-01T00:00:00"/>
    <x v="1"/>
    <n v="5"/>
    <x v="0"/>
    <x v="1"/>
    <s v="-"/>
    <x v="1"/>
    <n v="0"/>
    <n v="0"/>
    <n v="5"/>
  </r>
  <r>
    <n v="3297"/>
    <s v="Fábio Nobre"/>
    <s v="Ultimate"/>
    <d v="2024-05-02T00:00:00"/>
    <x v="0"/>
    <n v="15"/>
    <x v="2"/>
    <x v="0"/>
    <n v="30"/>
    <x v="0"/>
    <n v="20"/>
    <n v="7"/>
    <n v="58"/>
  </r>
  <r>
    <n v="3298"/>
    <s v="Gabriel Oliveira"/>
    <s v="Standard"/>
    <d v="2024-05-03T00:00:00"/>
    <x v="1"/>
    <n v="10"/>
    <x v="1"/>
    <x v="1"/>
    <s v="-"/>
    <x v="0"/>
    <n v="20"/>
    <n v="10"/>
    <n v="20"/>
  </r>
  <r>
    <n v="3299"/>
    <s v="Helena Santos"/>
    <s v="Core"/>
    <d v="2024-05-04T00:00:00"/>
    <x v="0"/>
    <n v="5"/>
    <x v="2"/>
    <x v="1"/>
    <s v="-"/>
    <x v="1"/>
    <n v="0"/>
    <n v="1"/>
    <n v="4"/>
  </r>
  <r>
    <n v="3300"/>
    <s v="Ivan Carvalho"/>
    <s v="Ultimate"/>
    <d v="2024-05-05T00:00:00"/>
    <x v="1"/>
    <n v="15"/>
    <x v="0"/>
    <x v="0"/>
    <n v="30"/>
    <x v="0"/>
    <n v="20"/>
    <n v="15"/>
    <n v="50"/>
  </r>
  <r>
    <n v="3301"/>
    <s v="Júlia Ferreira"/>
    <s v="Standard"/>
    <d v="2024-05-06T00:00:00"/>
    <x v="0"/>
    <n v="10"/>
    <x v="0"/>
    <x v="1"/>
    <s v="-"/>
    <x v="0"/>
    <n v="20"/>
    <n v="5"/>
    <n v="25"/>
  </r>
  <r>
    <n v="3302"/>
    <s v="Karla Alves"/>
    <s v="Core"/>
    <d v="2024-05-07T00:00:00"/>
    <x v="1"/>
    <n v="5"/>
    <x v="1"/>
    <x v="1"/>
    <s v="-"/>
    <x v="1"/>
    <n v="0"/>
    <n v="0"/>
    <n v="5"/>
  </r>
  <r>
    <n v="3303"/>
    <s v="Lucas Mendes"/>
    <s v="Ultimate"/>
    <d v="2024-05-08T00:00:00"/>
    <x v="0"/>
    <n v="15"/>
    <x v="2"/>
    <x v="0"/>
    <n v="30"/>
    <x v="0"/>
    <n v="20"/>
    <n v="20"/>
    <n v="45"/>
  </r>
  <r>
    <n v="3304"/>
    <s v="Mônica Gomes"/>
    <s v="Standard"/>
    <d v="2024-05-09T00:00:00"/>
    <x v="1"/>
    <n v="10"/>
    <x v="2"/>
    <x v="1"/>
    <s v="-"/>
    <x v="0"/>
    <n v="20"/>
    <n v="12"/>
    <n v="18"/>
  </r>
  <r>
    <n v="3305"/>
    <s v="Norberto Queiroz"/>
    <s v="Core"/>
    <d v="2024-05-10T00:00:00"/>
    <x v="0"/>
    <n v="5"/>
    <x v="0"/>
    <x v="1"/>
    <s v="-"/>
    <x v="1"/>
    <n v="0"/>
    <n v="2"/>
    <n v="3"/>
  </r>
  <r>
    <n v="3306"/>
    <s v="Otávio Barros"/>
    <s v="Ultimate"/>
    <d v="2024-05-11T00:00:00"/>
    <x v="1"/>
    <n v="15"/>
    <x v="1"/>
    <x v="0"/>
    <n v="30"/>
    <x v="0"/>
    <n v="20"/>
    <n v="5"/>
    <n v="60"/>
  </r>
  <r>
    <n v="3307"/>
    <s v="Paula Vieira"/>
    <s v="Standard"/>
    <d v="2024-05-12T00:00:00"/>
    <x v="0"/>
    <n v="10"/>
    <x v="0"/>
    <x v="1"/>
    <s v="-"/>
    <x v="0"/>
    <n v="20"/>
    <n v="10"/>
    <n v="20"/>
  </r>
  <r>
    <n v="3308"/>
    <s v="Quentin Ramos"/>
    <s v="Core"/>
    <d v="2024-05-13T00:00:00"/>
    <x v="1"/>
    <n v="5"/>
    <x v="2"/>
    <x v="1"/>
    <s v="-"/>
    <x v="1"/>
    <n v="0"/>
    <n v="0"/>
    <n v="5"/>
  </r>
  <r>
    <n v="3309"/>
    <s v="Raquel Novaes"/>
    <s v="Ultimate"/>
    <d v="2024-05-14T00:00:00"/>
    <x v="0"/>
    <n v="15"/>
    <x v="0"/>
    <x v="0"/>
    <n v="30"/>
    <x v="0"/>
    <n v="20"/>
    <n v="3"/>
    <n v="62"/>
  </r>
  <r>
    <n v="3310"/>
    <s v="Samantha Lopes"/>
    <s v="Standard"/>
    <d v="2024-05-15T00:00:00"/>
    <x v="1"/>
    <n v="10"/>
    <x v="1"/>
    <x v="1"/>
    <s v="-"/>
    <x v="0"/>
    <n v="20"/>
    <n v="15"/>
    <n v="15"/>
  </r>
  <r>
    <n v="3311"/>
    <s v="Tiago Martins"/>
    <s v="Core"/>
    <d v="2024-05-16T00:00:00"/>
    <x v="0"/>
    <n v="5"/>
    <x v="0"/>
    <x v="1"/>
    <s v="-"/>
    <x v="1"/>
    <n v="0"/>
    <n v="1"/>
    <n v="4"/>
  </r>
  <r>
    <n v="3312"/>
    <s v="Ulysses Guimarães"/>
    <s v="Ultimate"/>
    <d v="2024-05-17T00:00:00"/>
    <x v="1"/>
    <n v="15"/>
    <x v="2"/>
    <x v="0"/>
    <n v="30"/>
    <x v="0"/>
    <n v="20"/>
    <n v="7"/>
    <n v="58"/>
  </r>
  <r>
    <n v="3313"/>
    <s v="Vanessa Silva"/>
    <s v="Standard"/>
    <d v="2024-05-18T00:00:00"/>
    <x v="0"/>
    <n v="10"/>
    <x v="0"/>
    <x v="1"/>
    <s v="-"/>
    <x v="0"/>
    <n v="20"/>
    <n v="10"/>
    <n v="20"/>
  </r>
  <r>
    <n v="3314"/>
    <s v="William Carneiro"/>
    <s v="Core"/>
    <d v="2024-05-19T00:00:00"/>
    <x v="1"/>
    <n v="5"/>
    <x v="1"/>
    <x v="1"/>
    <s v="-"/>
    <x v="1"/>
    <n v="0"/>
    <n v="0"/>
    <n v="5"/>
  </r>
  <r>
    <n v="3315"/>
    <s v="Ximena Rocha"/>
    <s v="Ultimate"/>
    <d v="2024-05-20T00:00:00"/>
    <x v="0"/>
    <n v="15"/>
    <x v="0"/>
    <x v="0"/>
    <n v="30"/>
    <x v="0"/>
    <n v="20"/>
    <n v="20"/>
    <n v="45"/>
  </r>
  <r>
    <n v="3316"/>
    <s v="Yasmin Figueiredo"/>
    <s v="Standard"/>
    <d v="2024-05-21T00:00:00"/>
    <x v="1"/>
    <n v="10"/>
    <x v="2"/>
    <x v="1"/>
    <s v="-"/>
    <x v="0"/>
    <n v="20"/>
    <n v="15"/>
    <n v="15"/>
  </r>
  <r>
    <n v="3317"/>
    <s v="Zara Cunha"/>
    <s v="Core"/>
    <d v="2024-05-22T00:00:00"/>
    <x v="0"/>
    <n v="5"/>
    <x v="0"/>
    <x v="1"/>
    <s v="-"/>
    <x v="1"/>
    <n v="0"/>
    <n v="1"/>
    <n v="4"/>
  </r>
  <r>
    <n v="3318"/>
    <s v="Alan Teixeira"/>
    <s v="Ultimate"/>
    <d v="2024-05-23T00:00:00"/>
    <x v="1"/>
    <n v="15"/>
    <x v="1"/>
    <x v="0"/>
    <n v="30"/>
    <x v="0"/>
    <n v="20"/>
    <n v="3"/>
    <n v="62"/>
  </r>
  <r>
    <n v="3319"/>
    <s v="Bárbara Oliveira"/>
    <s v="Standard"/>
    <d v="2024-05-24T00:00:00"/>
    <x v="0"/>
    <n v="10"/>
    <x v="0"/>
    <x v="1"/>
    <s v="-"/>
    <x v="0"/>
    <n v="20"/>
    <n v="10"/>
    <n v="20"/>
  </r>
  <r>
    <n v="3320"/>
    <s v="Carlos Junqueira"/>
    <s v="Core"/>
    <d v="2024-05-25T00:00:00"/>
    <x v="1"/>
    <n v="5"/>
    <x v="2"/>
    <x v="1"/>
    <s v="-"/>
    <x v="1"/>
    <n v="0"/>
    <n v="0"/>
    <n v="5"/>
  </r>
  <r>
    <n v="3321"/>
    <s v="Daniela Moura"/>
    <s v="Ultimate"/>
    <d v="2024-05-26T00:00:00"/>
    <x v="0"/>
    <n v="15"/>
    <x v="0"/>
    <x v="0"/>
    <n v="30"/>
    <x v="0"/>
    <n v="20"/>
    <n v="5"/>
    <n v="60"/>
  </r>
  <r>
    <n v="3322"/>
    <s v="Eduardo Lima"/>
    <s v="Standard"/>
    <d v="2024-05-27T00:00:00"/>
    <x v="1"/>
    <n v="10"/>
    <x v="1"/>
    <x v="1"/>
    <s v="-"/>
    <x v="0"/>
    <n v="20"/>
    <n v="15"/>
    <n v="15"/>
  </r>
  <r>
    <n v="3323"/>
    <s v="Fabiana Araújo"/>
    <s v="Core"/>
    <d v="2024-05-28T00:00:00"/>
    <x v="0"/>
    <n v="5"/>
    <x v="0"/>
    <x v="1"/>
    <s v="-"/>
    <x v="1"/>
    <n v="0"/>
    <n v="1"/>
    <n v="4"/>
  </r>
  <r>
    <n v="3324"/>
    <s v="Geraldo Ribeiro"/>
    <s v="Ultimate"/>
    <d v="2024-05-29T00:00:00"/>
    <x v="1"/>
    <n v="15"/>
    <x v="2"/>
    <x v="0"/>
    <n v="30"/>
    <x v="0"/>
    <n v="20"/>
    <n v="20"/>
    <n v="45"/>
  </r>
  <r>
    <n v="3325"/>
    <s v="Héctor Vargas"/>
    <s v="Standard"/>
    <d v="2024-05-30T00:00:00"/>
    <x v="0"/>
    <n v="10"/>
    <x v="2"/>
    <x v="1"/>
    <s v="-"/>
    <x v="0"/>
    <n v="20"/>
    <n v="15"/>
    <n v="15"/>
  </r>
  <r>
    <n v="3326"/>
    <s v="Isabela Fonseca"/>
    <s v="Core"/>
    <d v="2024-05-31T00:00:00"/>
    <x v="1"/>
    <n v="5"/>
    <x v="1"/>
    <x v="1"/>
    <s v="-"/>
    <x v="1"/>
    <n v="0"/>
    <n v="0"/>
    <n v="5"/>
  </r>
  <r>
    <n v="3327"/>
    <s v="João Pedro Almeida"/>
    <s v="Ultimate"/>
    <d v="2024-06-01T00:00:00"/>
    <x v="0"/>
    <n v="15"/>
    <x v="0"/>
    <x v="0"/>
    <n v="30"/>
    <x v="0"/>
    <n v="20"/>
    <n v="7"/>
    <n v="58"/>
  </r>
  <r>
    <n v="3328"/>
    <s v="Klara Costa"/>
    <s v="Standard"/>
    <d v="2024-06-02T00:00:00"/>
    <x v="1"/>
    <n v="10"/>
    <x v="1"/>
    <x v="1"/>
    <s v="-"/>
    <x v="0"/>
    <n v="20"/>
    <n v="10"/>
    <n v="20"/>
  </r>
  <r>
    <n v="3329"/>
    <s v="Luciana Mendes"/>
    <s v="Core"/>
    <d v="2024-06-03T00:00:00"/>
    <x v="0"/>
    <n v="5"/>
    <x v="2"/>
    <x v="1"/>
    <s v="-"/>
    <x v="1"/>
    <n v="0"/>
    <n v="1"/>
    <n v="4"/>
  </r>
  <r>
    <n v="3330"/>
    <s v="Marcelo Gouveia"/>
    <s v="Ultimate"/>
    <d v="2024-06-04T00:00:00"/>
    <x v="1"/>
    <n v="15"/>
    <x v="0"/>
    <x v="0"/>
    <n v="30"/>
    <x v="0"/>
    <n v="20"/>
    <n v="15"/>
    <n v="50"/>
  </r>
  <r>
    <n v="3331"/>
    <s v="Nívea Borges"/>
    <s v="Standard"/>
    <d v="2024-06-05T00:00:00"/>
    <x v="0"/>
    <n v="10"/>
    <x v="0"/>
    <x v="1"/>
    <s v="-"/>
    <x v="0"/>
    <n v="20"/>
    <n v="5"/>
    <n v="25"/>
  </r>
  <r>
    <n v="3332"/>
    <s v="Oscar Nogueira"/>
    <s v="Core"/>
    <d v="2024-06-06T00:00:00"/>
    <x v="1"/>
    <n v="5"/>
    <x v="1"/>
    <x v="1"/>
    <s v="-"/>
    <x v="1"/>
    <n v="0"/>
    <n v="0"/>
    <n v="5"/>
  </r>
  <r>
    <n v="3333"/>
    <s v="Patrícia Alves"/>
    <s v="Ultimate"/>
    <d v="2024-06-07T00:00:00"/>
    <x v="0"/>
    <n v="15"/>
    <x v="2"/>
    <x v="0"/>
    <n v="30"/>
    <x v="0"/>
    <n v="20"/>
    <n v="20"/>
    <n v="45"/>
  </r>
  <r>
    <n v="3334"/>
    <s v="Rafaela Silva"/>
    <s v="Standard"/>
    <d v="2024-06-08T00:00:00"/>
    <x v="1"/>
    <n v="10"/>
    <x v="2"/>
    <x v="1"/>
    <s v="-"/>
    <x v="0"/>
    <n v="20"/>
    <n v="12"/>
    <n v="18"/>
  </r>
  <r>
    <n v="3335"/>
    <s v="Samantha Moraes"/>
    <s v="Core"/>
    <d v="2024-06-09T00:00:00"/>
    <x v="0"/>
    <n v="5"/>
    <x v="0"/>
    <x v="1"/>
    <s v="-"/>
    <x v="1"/>
    <n v="0"/>
    <n v="2"/>
    <n v="3"/>
  </r>
  <r>
    <n v="3336"/>
    <s v="Tatiana Rocha"/>
    <s v="Core"/>
    <d v="2024-06-10T00:00:00"/>
    <x v="0"/>
    <n v="5"/>
    <x v="0"/>
    <x v="1"/>
    <s v="-"/>
    <x v="1"/>
    <n v="0"/>
    <n v="0"/>
    <n v="5"/>
  </r>
  <r>
    <n v="3337"/>
    <s v="Ulisses Tavares"/>
    <s v="Ultimate"/>
    <d v="2024-06-11T00:00:00"/>
    <x v="1"/>
    <n v="15"/>
    <x v="2"/>
    <x v="0"/>
    <n v="30"/>
    <x v="0"/>
    <n v="20"/>
    <n v="7"/>
    <n v="58"/>
  </r>
  <r>
    <n v="3338"/>
    <s v="Víctor Lemos"/>
    <s v="Standard"/>
    <d v="2024-06-12T00:00:00"/>
    <x v="0"/>
    <n v="10"/>
    <x v="1"/>
    <x v="1"/>
    <s v="-"/>
    <x v="0"/>
    <n v="20"/>
    <n v="10"/>
    <n v="20"/>
  </r>
  <r>
    <n v="3339"/>
    <s v="Wilma Barros"/>
    <s v="Core"/>
    <d v="2024-06-13T00:00:00"/>
    <x v="1"/>
    <n v="5"/>
    <x v="2"/>
    <x v="1"/>
    <s v="-"/>
    <x v="1"/>
    <n v="0"/>
    <n v="1"/>
    <n v="4"/>
  </r>
  <r>
    <n v="3340"/>
    <s v="Xavier Nascimento"/>
    <s v="Ultimate"/>
    <d v="2024-06-14T00:00:00"/>
    <x v="0"/>
    <n v="15"/>
    <x v="0"/>
    <x v="0"/>
    <n v="30"/>
    <x v="0"/>
    <n v="20"/>
    <n v="15"/>
    <n v="50"/>
  </r>
  <r>
    <n v="3341"/>
    <s v="Yago Pereira"/>
    <s v="Standard"/>
    <d v="2024-06-15T00:00:00"/>
    <x v="1"/>
    <n v="10"/>
    <x v="0"/>
    <x v="1"/>
    <s v="-"/>
    <x v="0"/>
    <n v="20"/>
    <n v="5"/>
    <n v="25"/>
  </r>
  <r>
    <n v="3342"/>
    <s v="Zilda Ferreira"/>
    <s v="Core"/>
    <d v="2024-06-16T00:00:00"/>
    <x v="0"/>
    <n v="5"/>
    <x v="1"/>
    <x v="1"/>
    <s v="-"/>
    <x v="1"/>
    <n v="0"/>
    <n v="0"/>
    <n v="5"/>
  </r>
  <r>
    <n v="3343"/>
    <s v="Amanda Lopes"/>
    <s v="Ultimate"/>
    <d v="2024-06-17T00:00:00"/>
    <x v="1"/>
    <n v="15"/>
    <x v="2"/>
    <x v="0"/>
    <n v="30"/>
    <x v="0"/>
    <n v="20"/>
    <n v="20"/>
    <n v="45"/>
  </r>
  <r>
    <n v="3344"/>
    <s v="Bruno Miranda"/>
    <s v="Standard"/>
    <d v="2024-06-18T00:00:00"/>
    <x v="0"/>
    <n v="10"/>
    <x v="2"/>
    <x v="1"/>
    <s v="-"/>
    <x v="0"/>
    <n v="20"/>
    <n v="12"/>
    <n v="18"/>
  </r>
  <r>
    <n v="3345"/>
    <s v="Célia Torres"/>
    <s v="Core"/>
    <d v="2024-06-19T00:00:00"/>
    <x v="1"/>
    <n v="5"/>
    <x v="0"/>
    <x v="1"/>
    <s v="-"/>
    <x v="1"/>
    <n v="0"/>
    <n v="2"/>
    <n v="3"/>
  </r>
  <r>
    <n v="3346"/>
    <s v="Diogo Souza"/>
    <s v="Ultimate"/>
    <d v="2024-06-20T00:00:00"/>
    <x v="0"/>
    <n v="15"/>
    <x v="1"/>
    <x v="0"/>
    <n v="30"/>
    <x v="0"/>
    <n v="20"/>
    <n v="5"/>
    <n v="60"/>
  </r>
  <r>
    <n v="3347"/>
    <s v="Elisa Castro"/>
    <s v="Standard"/>
    <d v="2024-06-21T00:00:00"/>
    <x v="1"/>
    <n v="10"/>
    <x v="0"/>
    <x v="1"/>
    <s v="-"/>
    <x v="0"/>
    <n v="20"/>
    <n v="10"/>
    <n v="20"/>
  </r>
  <r>
    <n v="3348"/>
    <s v="Fátima Lima"/>
    <s v="Core"/>
    <d v="2024-06-22T00:00:00"/>
    <x v="0"/>
    <n v="5"/>
    <x v="2"/>
    <x v="1"/>
    <s v="-"/>
    <x v="1"/>
    <n v="0"/>
    <n v="0"/>
    <n v="5"/>
  </r>
  <r>
    <n v="3349"/>
    <s v="Geraldo Ribeiro"/>
    <s v="Ultimate"/>
    <d v="2024-06-23T00:00:00"/>
    <x v="1"/>
    <n v="15"/>
    <x v="0"/>
    <x v="0"/>
    <n v="30"/>
    <x v="0"/>
    <n v="20"/>
    <n v="3"/>
    <n v="62"/>
  </r>
  <r>
    <n v="3350"/>
    <s v="Hélio Martins"/>
    <s v="Standard"/>
    <d v="2024-06-24T00:00:00"/>
    <x v="0"/>
    <n v="10"/>
    <x v="1"/>
    <x v="1"/>
    <s v="-"/>
    <x v="0"/>
    <n v="20"/>
    <n v="15"/>
    <n v="15"/>
  </r>
  <r>
    <n v="3351"/>
    <s v="Íris Santos"/>
    <s v="Core"/>
    <d v="2024-06-25T00:00:00"/>
    <x v="1"/>
    <n v="5"/>
    <x v="0"/>
    <x v="1"/>
    <s v="-"/>
    <x v="1"/>
    <n v="0"/>
    <n v="1"/>
    <n v="4"/>
  </r>
  <r>
    <n v="3352"/>
    <s v="João Marcelo"/>
    <s v="Ultimate"/>
    <d v="2024-06-26T00:00:00"/>
    <x v="0"/>
    <n v="15"/>
    <x v="2"/>
    <x v="0"/>
    <n v="30"/>
    <x v="0"/>
    <n v="20"/>
    <n v="7"/>
    <n v="58"/>
  </r>
  <r>
    <n v="3353"/>
    <s v="Larissa Gomes"/>
    <s v="Standard"/>
    <d v="2024-06-27T00:00:00"/>
    <x v="1"/>
    <n v="10"/>
    <x v="0"/>
    <x v="1"/>
    <s v="-"/>
    <x v="0"/>
    <n v="20"/>
    <n v="10"/>
    <n v="20"/>
  </r>
  <r>
    <n v="3354"/>
    <s v="Márcio Silva"/>
    <s v="Core"/>
    <d v="2024-06-28T00:00:00"/>
    <x v="0"/>
    <n v="5"/>
    <x v="1"/>
    <x v="1"/>
    <s v="-"/>
    <x v="1"/>
    <n v="0"/>
    <n v="0"/>
    <n v="5"/>
  </r>
  <r>
    <n v="3355"/>
    <s v="Nadia Costa"/>
    <s v="Ultimate"/>
    <d v="2024-06-29T00:00:00"/>
    <x v="1"/>
    <n v="15"/>
    <x v="0"/>
    <x v="0"/>
    <n v="30"/>
    <x v="0"/>
    <n v="20"/>
    <n v="20"/>
    <n v="45"/>
  </r>
  <r>
    <n v="3356"/>
    <s v="Oscar Almeida"/>
    <s v="Standard"/>
    <d v="2024-06-30T00:00:00"/>
    <x v="0"/>
    <n v="10"/>
    <x v="2"/>
    <x v="1"/>
    <s v="-"/>
    <x v="0"/>
    <n v="20"/>
    <n v="15"/>
    <n v="15"/>
  </r>
  <r>
    <n v="3357"/>
    <s v="Patricia Soares"/>
    <s v="Core"/>
    <d v="2024-07-01T00:00:00"/>
    <x v="1"/>
    <n v="5"/>
    <x v="0"/>
    <x v="1"/>
    <s v="-"/>
    <x v="1"/>
    <n v="0"/>
    <n v="1"/>
    <n v="4"/>
  </r>
  <r>
    <n v="3358"/>
    <s v="Quênia Barros"/>
    <s v="Ultimate"/>
    <d v="2024-07-02T00:00:00"/>
    <x v="0"/>
    <n v="15"/>
    <x v="1"/>
    <x v="0"/>
    <n v="30"/>
    <x v="0"/>
    <n v="20"/>
    <n v="3"/>
    <n v="62"/>
  </r>
  <r>
    <n v="3359"/>
    <s v="Rafael Torres"/>
    <s v="Standard"/>
    <d v="2024-07-03T00:00:00"/>
    <x v="1"/>
    <n v="10"/>
    <x v="0"/>
    <x v="1"/>
    <s v="-"/>
    <x v="0"/>
    <n v="20"/>
    <n v="10"/>
    <n v="20"/>
  </r>
  <r>
    <n v="3360"/>
    <s v="Silvia Nascimento"/>
    <s v="Core"/>
    <d v="2024-07-04T00:00:00"/>
    <x v="0"/>
    <n v="5"/>
    <x v="2"/>
    <x v="1"/>
    <s v="-"/>
    <x v="1"/>
    <n v="0"/>
    <n v="0"/>
    <n v="5"/>
  </r>
  <r>
    <n v="3361"/>
    <s v="Tiago Mendes"/>
    <s v="Ultimate"/>
    <d v="2024-07-05T00:00:00"/>
    <x v="1"/>
    <n v="15"/>
    <x v="0"/>
    <x v="0"/>
    <n v="30"/>
    <x v="0"/>
    <n v="20"/>
    <n v="15"/>
    <n v="50"/>
  </r>
  <r>
    <n v="3362"/>
    <s v="Ursula Silva"/>
    <s v="Standard"/>
    <d v="2024-07-06T00:00:00"/>
    <x v="0"/>
    <n v="10"/>
    <x v="1"/>
    <x v="1"/>
    <s v="-"/>
    <x v="0"/>
    <n v="20"/>
    <n v="15"/>
    <n v="15"/>
  </r>
  <r>
    <n v="3363"/>
    <s v="Vanessa Moraes"/>
    <s v="Core"/>
    <d v="2024-07-07T00:00:00"/>
    <x v="1"/>
    <n v="5"/>
    <x v="0"/>
    <x v="1"/>
    <s v="-"/>
    <x v="1"/>
    <n v="0"/>
    <n v="1"/>
    <n v="4"/>
  </r>
  <r>
    <n v="3364"/>
    <s v="Waldir Junior"/>
    <s v="Ultimate"/>
    <d v="2024-07-08T00:00:00"/>
    <x v="0"/>
    <n v="15"/>
    <x v="2"/>
    <x v="0"/>
    <n v="30"/>
    <x v="0"/>
    <n v="20"/>
    <n v="7"/>
    <n v="58"/>
  </r>
  <r>
    <n v="3365"/>
    <s v="Xavier Lopes"/>
    <s v="Standard"/>
    <d v="2024-07-09T00:00:00"/>
    <x v="1"/>
    <n v="10"/>
    <x v="0"/>
    <x v="1"/>
    <s v="-"/>
    <x v="0"/>
    <n v="20"/>
    <n v="10"/>
    <n v="20"/>
  </r>
  <r>
    <n v="3366"/>
    <s v="Yolanda Freitas"/>
    <s v="Core"/>
    <d v="2024-07-10T00:00:00"/>
    <x v="0"/>
    <n v="5"/>
    <x v="0"/>
    <x v="1"/>
    <s v="-"/>
    <x v="1"/>
    <n v="0"/>
    <n v="0"/>
    <n v="5"/>
  </r>
  <r>
    <n v="3367"/>
    <s v="Zacarias Nunes"/>
    <s v="Ultimate"/>
    <d v="2024-07-11T00:00:00"/>
    <x v="1"/>
    <n v="15"/>
    <x v="2"/>
    <x v="0"/>
    <n v="30"/>
    <x v="0"/>
    <n v="20"/>
    <n v="7"/>
    <n v="58"/>
  </r>
  <r>
    <n v="3368"/>
    <s v="Ana Clara Barreto"/>
    <s v="Standard"/>
    <d v="2024-07-12T00:00:00"/>
    <x v="0"/>
    <n v="10"/>
    <x v="1"/>
    <x v="1"/>
    <s v="-"/>
    <x v="0"/>
    <n v="20"/>
    <n v="10"/>
    <n v="20"/>
  </r>
  <r>
    <n v="3369"/>
    <s v="Bruno Henrique"/>
    <s v="Core"/>
    <d v="2024-07-13T00:00:00"/>
    <x v="1"/>
    <n v="5"/>
    <x v="2"/>
    <x v="1"/>
    <s v="-"/>
    <x v="1"/>
    <n v="0"/>
    <n v="1"/>
    <n v="4"/>
  </r>
  <r>
    <n v="3370"/>
    <s v="Carlos Eduardo"/>
    <s v="Ultimate"/>
    <d v="2024-07-14T00:00:00"/>
    <x v="0"/>
    <n v="15"/>
    <x v="0"/>
    <x v="0"/>
    <n v="30"/>
    <x v="0"/>
    <n v="20"/>
    <n v="15"/>
    <n v="50"/>
  </r>
  <r>
    <n v="3371"/>
    <s v="Débora Lima"/>
    <s v="Standard"/>
    <d v="2024-07-15T00:00:00"/>
    <x v="1"/>
    <n v="10"/>
    <x v="0"/>
    <x v="1"/>
    <s v="-"/>
    <x v="0"/>
    <n v="20"/>
    <n v="5"/>
    <n v="25"/>
  </r>
  <r>
    <n v="3372"/>
    <s v="Elisa Neves"/>
    <s v="Core"/>
    <d v="2024-07-16T00:00:00"/>
    <x v="0"/>
    <n v="5"/>
    <x v="1"/>
    <x v="1"/>
    <s v="-"/>
    <x v="1"/>
    <n v="0"/>
    <n v="0"/>
    <n v="5"/>
  </r>
  <r>
    <n v="3373"/>
    <s v="Fabiano Gomes"/>
    <s v="Ultimate"/>
    <d v="2024-07-17T00:00:00"/>
    <x v="1"/>
    <n v="15"/>
    <x v="2"/>
    <x v="0"/>
    <n v="30"/>
    <x v="0"/>
    <n v="20"/>
    <n v="20"/>
    <n v="45"/>
  </r>
  <r>
    <n v="3374"/>
    <s v="Gisele Oliveira"/>
    <s v="Standard"/>
    <d v="2024-07-18T00:00:00"/>
    <x v="0"/>
    <n v="10"/>
    <x v="2"/>
    <x v="1"/>
    <s v="-"/>
    <x v="0"/>
    <n v="20"/>
    <n v="12"/>
    <n v="18"/>
  </r>
  <r>
    <n v="3375"/>
    <s v="Héctor Silva"/>
    <s v="Core"/>
    <d v="2024-07-19T00:00:00"/>
    <x v="1"/>
    <n v="5"/>
    <x v="0"/>
    <x v="1"/>
    <s v="-"/>
    <x v="1"/>
    <n v="0"/>
    <n v="2"/>
    <n v="3"/>
  </r>
  <r>
    <n v="3376"/>
    <s v="Igor Martins"/>
    <s v="Ultimate"/>
    <d v="2024-07-20T00:00:00"/>
    <x v="0"/>
    <n v="15"/>
    <x v="1"/>
    <x v="0"/>
    <n v="30"/>
    <x v="0"/>
    <n v="20"/>
    <n v="5"/>
    <n v="60"/>
  </r>
  <r>
    <n v="3377"/>
    <s v="Joana Figueiredo"/>
    <s v="Standard"/>
    <d v="2024-07-21T00:00:00"/>
    <x v="1"/>
    <n v="10"/>
    <x v="0"/>
    <x v="1"/>
    <s v="-"/>
    <x v="0"/>
    <n v="20"/>
    <n v="10"/>
    <n v="20"/>
  </r>
  <r>
    <n v="3378"/>
    <s v="Kleber Machado"/>
    <s v="Core"/>
    <d v="2024-07-22T00:00:00"/>
    <x v="0"/>
    <n v="5"/>
    <x v="2"/>
    <x v="1"/>
    <s v="-"/>
    <x v="1"/>
    <n v="0"/>
    <n v="0"/>
    <n v="5"/>
  </r>
  <r>
    <n v="3379"/>
    <s v="Luciana Santos"/>
    <s v="Ultimate"/>
    <d v="2024-07-23T00:00:00"/>
    <x v="1"/>
    <n v="15"/>
    <x v="0"/>
    <x v="0"/>
    <n v="30"/>
    <x v="0"/>
    <n v="20"/>
    <n v="3"/>
    <n v="62"/>
  </r>
  <r>
    <n v="3380"/>
    <s v="Marcos Teixeira"/>
    <s v="Standard"/>
    <d v="2024-07-24T00:00:00"/>
    <x v="0"/>
    <n v="10"/>
    <x v="1"/>
    <x v="1"/>
    <s v="-"/>
    <x v="0"/>
    <n v="20"/>
    <n v="15"/>
    <n v="15"/>
  </r>
  <r>
    <n v="3381"/>
    <s v="Natalia Costa"/>
    <s v="Core"/>
    <d v="2024-07-25T00:00:00"/>
    <x v="1"/>
    <n v="5"/>
    <x v="0"/>
    <x v="1"/>
    <s v="-"/>
    <x v="1"/>
    <n v="0"/>
    <n v="1"/>
    <n v="4"/>
  </r>
  <r>
    <n v="3382"/>
    <s v="Oscar Ribeiro"/>
    <s v="Ultimate"/>
    <d v="2024-07-26T00:00:00"/>
    <x v="0"/>
    <n v="15"/>
    <x v="2"/>
    <x v="0"/>
    <n v="30"/>
    <x v="0"/>
    <n v="20"/>
    <n v="7"/>
    <n v="58"/>
  </r>
  <r>
    <n v="3383"/>
    <s v="Patricia Almeida"/>
    <s v="Standard"/>
    <d v="2024-07-27T00:00:00"/>
    <x v="1"/>
    <n v="10"/>
    <x v="0"/>
    <x v="1"/>
    <s v="-"/>
    <x v="0"/>
    <n v="20"/>
    <n v="10"/>
    <n v="20"/>
  </r>
  <r>
    <n v="3384"/>
    <s v="Quirino Junior"/>
    <s v="Core"/>
    <d v="2024-07-28T00:00:00"/>
    <x v="0"/>
    <n v="5"/>
    <x v="1"/>
    <x v="1"/>
    <s v="-"/>
    <x v="1"/>
    <n v="0"/>
    <n v="0"/>
    <n v="5"/>
  </r>
  <r>
    <n v="3385"/>
    <s v="Renata Machado"/>
    <s v="Ultimate"/>
    <d v="2024-07-29T00:00:00"/>
    <x v="1"/>
    <n v="15"/>
    <x v="0"/>
    <x v="0"/>
    <n v="30"/>
    <x v="0"/>
    <n v="20"/>
    <n v="20"/>
    <n v="45"/>
  </r>
  <r>
    <n v="3386"/>
    <s v="Sônia Alves"/>
    <s v="Standard"/>
    <d v="2024-07-30T00:00:00"/>
    <x v="0"/>
    <n v="10"/>
    <x v="2"/>
    <x v="1"/>
    <s v="-"/>
    <x v="0"/>
    <n v="20"/>
    <n v="15"/>
    <n v="15"/>
  </r>
  <r>
    <n v="3387"/>
    <s v="Tiago Nunes"/>
    <s v="Core"/>
    <d v="2024-07-31T00:00:00"/>
    <x v="1"/>
    <n v="5"/>
    <x v="0"/>
    <x v="1"/>
    <s v="-"/>
    <x v="1"/>
    <n v="0"/>
    <n v="1"/>
    <n v="4"/>
  </r>
  <r>
    <n v="3388"/>
    <s v="Ulysses Pereira"/>
    <s v="Ultimate"/>
    <d v="2024-08-01T00:00:00"/>
    <x v="0"/>
    <n v="15"/>
    <x v="1"/>
    <x v="0"/>
    <n v="30"/>
    <x v="0"/>
    <n v="20"/>
    <n v="3"/>
    <n v="62"/>
  </r>
  <r>
    <n v="3389"/>
    <s v="Vanessa Lima"/>
    <s v="Standard"/>
    <d v="2024-08-02T00:00:00"/>
    <x v="1"/>
    <n v="10"/>
    <x v="0"/>
    <x v="1"/>
    <s v="-"/>
    <x v="0"/>
    <n v="20"/>
    <n v="10"/>
    <n v="20"/>
  </r>
  <r>
    <n v="3390"/>
    <s v="Wagner Santos"/>
    <s v="Core"/>
    <d v="2024-08-03T00:00:00"/>
    <x v="0"/>
    <n v="5"/>
    <x v="2"/>
    <x v="1"/>
    <s v="-"/>
    <x v="1"/>
    <n v="0"/>
    <n v="0"/>
    <n v="5"/>
  </r>
  <r>
    <n v="3391"/>
    <s v="Xuxa Meneghel"/>
    <s v="Ultimate"/>
    <d v="2024-08-04T00:00:00"/>
    <x v="1"/>
    <n v="15"/>
    <x v="0"/>
    <x v="0"/>
    <n v="30"/>
    <x v="0"/>
    <n v="20"/>
    <n v="15"/>
    <n v="50"/>
  </r>
  <r>
    <n v="3392"/>
    <s v="Yasmin Silva"/>
    <s v="Standard"/>
    <d v="2024-08-05T00:00:00"/>
    <x v="0"/>
    <n v="10"/>
    <x v="1"/>
    <x v="1"/>
    <s v="-"/>
    <x v="0"/>
    <n v="20"/>
    <n v="15"/>
    <n v="15"/>
  </r>
  <r>
    <n v="3393"/>
    <s v="Zacarias de Souza"/>
    <s v="Core"/>
    <d v="2024-08-06T00:00:00"/>
    <x v="1"/>
    <n v="5"/>
    <x v="0"/>
    <x v="1"/>
    <s v="-"/>
    <x v="1"/>
    <n v="0"/>
    <n v="1"/>
    <n v="4"/>
  </r>
  <r>
    <n v="3394"/>
    <s v="André Lima"/>
    <s v="Ultimate"/>
    <d v="2024-08-07T00:00:00"/>
    <x v="0"/>
    <n v="15"/>
    <x v="2"/>
    <x v="0"/>
    <n v="30"/>
    <x v="0"/>
    <n v="20"/>
    <n v="7"/>
    <n v="58"/>
  </r>
  <r>
    <n v="3395"/>
    <s v="Bianca Freitas"/>
    <s v="Standard"/>
    <d v="2024-08-08T00:00:00"/>
    <x v="1"/>
    <n v="10"/>
    <x v="0"/>
    <x v="1"/>
    <s v="-"/>
    <x v="0"/>
    <n v="20"/>
    <n v="10"/>
    <n v="20"/>
  </r>
  <r>
    <n v="3396"/>
    <s v="Caio Mendes"/>
    <s v="Core"/>
    <d v="2024-08-09T00:00:00"/>
    <x v="0"/>
    <n v="5"/>
    <x v="1"/>
    <x v="1"/>
    <s v="-"/>
    <x v="1"/>
    <n v="0"/>
    <n v="0"/>
    <n v="5"/>
  </r>
  <r>
    <n v="3397"/>
    <s v="Daniela Moura"/>
    <s v="Ultimate"/>
    <d v="2024-08-10T00:00:00"/>
    <x v="1"/>
    <n v="15"/>
    <x v="0"/>
    <x v="0"/>
    <n v="30"/>
    <x v="0"/>
    <n v="20"/>
    <n v="20"/>
    <n v="45"/>
  </r>
  <r>
    <n v="3398"/>
    <s v="Eduardo Costa"/>
    <s v="Standard"/>
    <d v="2024-08-11T00:00:00"/>
    <x v="0"/>
    <n v="10"/>
    <x v="2"/>
    <x v="1"/>
    <s v="-"/>
    <x v="0"/>
    <n v="20"/>
    <n v="15"/>
    <n v="15"/>
  </r>
  <r>
    <n v="3399"/>
    <s v="Fernanda Gomes"/>
    <s v="Core"/>
    <d v="2024-08-12T00:00:00"/>
    <x v="1"/>
    <n v="5"/>
    <x v="0"/>
    <x v="1"/>
    <s v="-"/>
    <x v="1"/>
    <n v="0"/>
    <n v="1"/>
    <n v="4"/>
  </r>
  <r>
    <n v="3400"/>
    <s v="Guilherme Souza"/>
    <s v="Ultimate"/>
    <d v="2024-08-13T00:00:00"/>
    <x v="0"/>
    <n v="15"/>
    <x v="1"/>
    <x v="0"/>
    <n v="30"/>
    <x v="0"/>
    <n v="20"/>
    <n v="5"/>
    <n v="60"/>
  </r>
  <r>
    <n v="3401"/>
    <s v="Helena Ribeiro"/>
    <s v="Standard"/>
    <d v="2024-08-14T00:00:00"/>
    <x v="1"/>
    <n v="10"/>
    <x v="0"/>
    <x v="1"/>
    <s v="-"/>
    <x v="0"/>
    <n v="20"/>
    <n v="10"/>
    <n v="20"/>
  </r>
  <r>
    <n v="3402"/>
    <s v="Igor Santos"/>
    <s v="Core"/>
    <d v="2024-08-15T00:00:00"/>
    <x v="0"/>
    <n v="5"/>
    <x v="2"/>
    <x v="1"/>
    <s v="-"/>
    <x v="1"/>
    <n v="0"/>
    <n v="0"/>
    <n v="5"/>
  </r>
  <r>
    <n v="3403"/>
    <s v="João Carvalho"/>
    <s v="Ultimate"/>
    <d v="2024-08-16T00:00:00"/>
    <x v="1"/>
    <n v="15"/>
    <x v="0"/>
    <x v="0"/>
    <n v="30"/>
    <x v="0"/>
    <n v="20"/>
    <n v="3"/>
    <n v="62"/>
  </r>
  <r>
    <n v="3404"/>
    <s v="Klara Fagundes"/>
    <s v="Standard"/>
    <d v="2024-08-17T00:00:00"/>
    <x v="0"/>
    <n v="10"/>
    <x v="1"/>
    <x v="1"/>
    <s v="-"/>
    <x v="0"/>
    <n v="20"/>
    <n v="15"/>
    <n v="15"/>
  </r>
  <r>
    <n v="3405"/>
    <s v="Lúcia Mendonça"/>
    <s v="Core"/>
    <d v="2024-08-18T00:00:00"/>
    <x v="1"/>
    <n v="5"/>
    <x v="0"/>
    <x v="1"/>
    <s v="-"/>
    <x v="1"/>
    <n v="0"/>
    <n v="1"/>
    <n v="4"/>
  </r>
  <r>
    <n v="3406"/>
    <s v="Marcelo Novaes"/>
    <s v="Core"/>
    <d v="2024-08-19T00:00:00"/>
    <x v="0"/>
    <n v="5"/>
    <x v="0"/>
    <x v="1"/>
    <s v="-"/>
    <x v="1"/>
    <n v="0"/>
    <n v="0"/>
    <n v="5"/>
  </r>
  <r>
    <n v="3407"/>
    <s v="Nina Pacheco"/>
    <s v="Ultimate"/>
    <d v="2024-08-20T00:00:00"/>
    <x v="1"/>
    <n v="15"/>
    <x v="2"/>
    <x v="0"/>
    <n v="30"/>
    <x v="0"/>
    <n v="20"/>
    <n v="7"/>
    <n v="58"/>
  </r>
  <r>
    <n v="3408"/>
    <s v="Olívia Rios"/>
    <s v="Standard"/>
    <d v="2024-08-21T00:00:00"/>
    <x v="0"/>
    <n v="10"/>
    <x v="1"/>
    <x v="1"/>
    <s v="-"/>
    <x v="0"/>
    <n v="20"/>
    <n v="10"/>
    <n v="20"/>
  </r>
  <r>
    <n v="3409"/>
    <s v="Paulo Quintana"/>
    <s v="Core"/>
    <d v="2024-08-22T00:00:00"/>
    <x v="1"/>
    <n v="5"/>
    <x v="2"/>
    <x v="1"/>
    <s v="-"/>
    <x v="1"/>
    <n v="0"/>
    <n v="1"/>
    <n v="4"/>
  </r>
  <r>
    <n v="3410"/>
    <s v="Raquel Domingos"/>
    <s v="Ultimate"/>
    <d v="2024-08-23T00:00:00"/>
    <x v="0"/>
    <n v="15"/>
    <x v="0"/>
    <x v="0"/>
    <n v="30"/>
    <x v="0"/>
    <n v="20"/>
    <n v="15"/>
    <n v="50"/>
  </r>
  <r>
    <n v="3411"/>
    <s v="Samuel Viana"/>
    <s v="Standard"/>
    <d v="2024-08-24T00:00:00"/>
    <x v="1"/>
    <n v="10"/>
    <x v="0"/>
    <x v="1"/>
    <s v="-"/>
    <x v="0"/>
    <n v="20"/>
    <n v="5"/>
    <n v="25"/>
  </r>
  <r>
    <n v="3412"/>
    <s v="Tatiane Rocha"/>
    <s v="Core"/>
    <d v="2024-08-25T00:00:00"/>
    <x v="0"/>
    <n v="5"/>
    <x v="1"/>
    <x v="1"/>
    <s v="-"/>
    <x v="1"/>
    <n v="0"/>
    <n v="0"/>
    <n v="5"/>
  </r>
  <r>
    <n v="3413"/>
    <s v="Ulysses Farias"/>
    <s v="Ultimate"/>
    <d v="2024-08-26T00:00:00"/>
    <x v="1"/>
    <n v="15"/>
    <x v="2"/>
    <x v="0"/>
    <n v="30"/>
    <x v="0"/>
    <n v="20"/>
    <n v="20"/>
    <n v="45"/>
  </r>
  <r>
    <n v="3414"/>
    <s v="Vanessa Moreira"/>
    <s v="Standard"/>
    <d v="2024-08-27T00:00:00"/>
    <x v="0"/>
    <n v="10"/>
    <x v="2"/>
    <x v="1"/>
    <s v="-"/>
    <x v="0"/>
    <n v="20"/>
    <n v="12"/>
    <n v="18"/>
  </r>
  <r>
    <n v="3415"/>
    <s v="William Carvalho"/>
    <s v="Core"/>
    <d v="2024-08-28T00:00:00"/>
    <x v="1"/>
    <n v="5"/>
    <x v="0"/>
    <x v="1"/>
    <s v="-"/>
    <x v="1"/>
    <n v="0"/>
    <n v="2"/>
    <n v="3"/>
  </r>
  <r>
    <n v="3416"/>
    <s v="Ximena Barros"/>
    <s v="Ultimate"/>
    <d v="2024-08-29T00:00:00"/>
    <x v="0"/>
    <n v="15"/>
    <x v="1"/>
    <x v="0"/>
    <n v="30"/>
    <x v="0"/>
    <n v="20"/>
    <n v="5"/>
    <n v="60"/>
  </r>
  <r>
    <n v="3417"/>
    <s v="Yara Machado"/>
    <s v="Standard"/>
    <d v="2024-08-30T00:00:00"/>
    <x v="1"/>
    <n v="10"/>
    <x v="0"/>
    <x v="1"/>
    <s v="-"/>
    <x v="0"/>
    <n v="20"/>
    <n v="10"/>
    <n v="20"/>
  </r>
  <r>
    <n v="3418"/>
    <s v="Zacarias Costa"/>
    <s v="Core"/>
    <d v="2024-08-31T00:00:00"/>
    <x v="0"/>
    <n v="5"/>
    <x v="2"/>
    <x v="1"/>
    <s v="-"/>
    <x v="1"/>
    <n v="0"/>
    <n v="0"/>
    <n v="5"/>
  </r>
  <r>
    <n v="3419"/>
    <s v="André Lopes"/>
    <s v="Ultimate"/>
    <d v="2024-09-01T00:00:00"/>
    <x v="1"/>
    <n v="15"/>
    <x v="0"/>
    <x v="0"/>
    <n v="30"/>
    <x v="0"/>
    <n v="20"/>
    <n v="3"/>
    <n v="62"/>
  </r>
  <r>
    <n v="3420"/>
    <s v="Beatriz Souza"/>
    <s v="Standard"/>
    <d v="2024-09-02T00:00:00"/>
    <x v="0"/>
    <n v="10"/>
    <x v="1"/>
    <x v="1"/>
    <s v="-"/>
    <x v="0"/>
    <n v="20"/>
    <n v="15"/>
    <n v="15"/>
  </r>
  <r>
    <n v="3421"/>
    <s v="Caio Pereira"/>
    <s v="Core"/>
    <d v="2024-09-03T00:00:00"/>
    <x v="1"/>
    <n v="5"/>
    <x v="0"/>
    <x v="1"/>
    <s v="-"/>
    <x v="1"/>
    <n v="0"/>
    <n v="1"/>
    <n v="4"/>
  </r>
  <r>
    <n v="3422"/>
    <s v="Daniela Araújo"/>
    <s v="Ultimate"/>
    <d v="2024-09-04T00:00:00"/>
    <x v="0"/>
    <n v="15"/>
    <x v="2"/>
    <x v="0"/>
    <n v="30"/>
    <x v="0"/>
    <n v="20"/>
    <n v="7"/>
    <n v="58"/>
  </r>
  <r>
    <n v="3423"/>
    <s v="Eduardo Santos"/>
    <s v="Standard"/>
    <d v="2024-09-05T00:00:00"/>
    <x v="1"/>
    <n v="10"/>
    <x v="0"/>
    <x v="1"/>
    <s v="-"/>
    <x v="0"/>
    <n v="20"/>
    <n v="10"/>
    <n v="20"/>
  </r>
  <r>
    <n v="3424"/>
    <s v="Fernanda Lima"/>
    <s v="Core"/>
    <d v="2024-09-06T00:00:00"/>
    <x v="0"/>
    <n v="5"/>
    <x v="1"/>
    <x v="1"/>
    <s v="-"/>
    <x v="1"/>
    <n v="0"/>
    <n v="0"/>
    <n v="5"/>
  </r>
  <r>
    <n v="3425"/>
    <s v="Gabriel Teixeira"/>
    <s v="Ultimate"/>
    <d v="2024-09-07T00:00:00"/>
    <x v="1"/>
    <n v="15"/>
    <x v="0"/>
    <x v="0"/>
    <n v="30"/>
    <x v="0"/>
    <n v="20"/>
    <n v="20"/>
    <n v="45"/>
  </r>
  <r>
    <n v="3426"/>
    <s v="Helena Ribeiro"/>
    <s v="Standard"/>
    <d v="2024-09-08T00:00:00"/>
    <x v="0"/>
    <n v="10"/>
    <x v="2"/>
    <x v="1"/>
    <s v="-"/>
    <x v="0"/>
    <n v="20"/>
    <n v="15"/>
    <n v="15"/>
  </r>
  <r>
    <n v="3427"/>
    <s v="Igor Mendes"/>
    <s v="Core"/>
    <d v="2024-09-09T00:00:00"/>
    <x v="1"/>
    <n v="5"/>
    <x v="0"/>
    <x v="1"/>
    <s v="-"/>
    <x v="1"/>
    <n v="0"/>
    <n v="1"/>
    <n v="4"/>
  </r>
  <r>
    <n v="3428"/>
    <s v="Joana Silveira"/>
    <s v="Ultimate"/>
    <d v="2024-09-10T00:00:00"/>
    <x v="0"/>
    <n v="15"/>
    <x v="1"/>
    <x v="0"/>
    <n v="30"/>
    <x v="0"/>
    <n v="20"/>
    <n v="3"/>
    <n v="62"/>
  </r>
  <r>
    <n v="3429"/>
    <s v="Lucas Martins"/>
    <s v="Standard"/>
    <d v="2024-09-11T00:00:00"/>
    <x v="1"/>
    <n v="10"/>
    <x v="0"/>
    <x v="1"/>
    <s v="-"/>
    <x v="0"/>
    <n v="20"/>
    <n v="10"/>
    <n v="20"/>
  </r>
  <r>
    <n v="3430"/>
    <s v="Marcela Gouveia"/>
    <s v="Core"/>
    <d v="2024-09-12T00:00:00"/>
    <x v="0"/>
    <n v="5"/>
    <x v="2"/>
    <x v="1"/>
    <s v="-"/>
    <x v="1"/>
    <n v="0"/>
    <n v="0"/>
    <n v="5"/>
  </r>
  <r>
    <n v="3431"/>
    <s v="Nicolas Borges"/>
    <s v="Ultimate"/>
    <d v="2024-09-13T00:00:00"/>
    <x v="1"/>
    <n v="15"/>
    <x v="0"/>
    <x v="0"/>
    <n v="30"/>
    <x v="0"/>
    <n v="20"/>
    <n v="15"/>
    <n v="50"/>
  </r>
  <r>
    <n v="3432"/>
    <s v="Olivia Freitas"/>
    <s v="Standard"/>
    <d v="2024-09-14T00:00:00"/>
    <x v="0"/>
    <n v="10"/>
    <x v="1"/>
    <x v="1"/>
    <s v="-"/>
    <x v="0"/>
    <n v="20"/>
    <n v="15"/>
    <n v="15"/>
  </r>
  <r>
    <n v="3433"/>
    <s v="Paulo Nogueira"/>
    <s v="Core"/>
    <d v="2024-09-15T00:00:00"/>
    <x v="1"/>
    <n v="5"/>
    <x v="0"/>
    <x v="1"/>
    <s v="-"/>
    <x v="1"/>
    <n v="0"/>
    <n v="1"/>
    <n v="4"/>
  </r>
  <r>
    <n v="3434"/>
    <s v="Raquel Andrade"/>
    <s v="Ultimate"/>
    <d v="2024-09-16T00:00:00"/>
    <x v="0"/>
    <n v="15"/>
    <x v="2"/>
    <x v="0"/>
    <n v="30"/>
    <x v="0"/>
    <n v="20"/>
    <n v="7"/>
    <n v="58"/>
  </r>
  <r>
    <n v="3435"/>
    <s v="Sônia Carvalho"/>
    <s v="Standard"/>
    <d v="2024-09-17T00:00:00"/>
    <x v="1"/>
    <n v="10"/>
    <x v="0"/>
    <x v="1"/>
    <s v="-"/>
    <x v="0"/>
    <n v="20"/>
    <n v="10"/>
    <n v="20"/>
  </r>
  <r>
    <n v="3436"/>
    <s v="Tiago Rodrigues"/>
    <s v="Core"/>
    <d v="2024-09-18T00:00:00"/>
    <x v="0"/>
    <n v="5"/>
    <x v="0"/>
    <x v="1"/>
    <s v="-"/>
    <x v="1"/>
    <n v="0"/>
    <n v="0"/>
    <n v="5"/>
  </r>
  <r>
    <n v="3437"/>
    <s v="Ursula Monteiro"/>
    <s v="Ultimate"/>
    <d v="2024-09-19T00:00:00"/>
    <x v="1"/>
    <n v="15"/>
    <x v="2"/>
    <x v="0"/>
    <n v="30"/>
    <x v="0"/>
    <n v="20"/>
    <n v="7"/>
    <n v="58"/>
  </r>
  <r>
    <n v="3438"/>
    <s v="Vanessa Pereira"/>
    <s v="Standard"/>
    <d v="2024-09-20T00:00:00"/>
    <x v="0"/>
    <n v="10"/>
    <x v="1"/>
    <x v="1"/>
    <s v="-"/>
    <x v="0"/>
    <n v="20"/>
    <n v="10"/>
    <n v="20"/>
  </r>
  <r>
    <n v="3439"/>
    <s v="Walter Silva"/>
    <s v="Core"/>
    <d v="2024-09-21T00:00:00"/>
    <x v="1"/>
    <n v="5"/>
    <x v="2"/>
    <x v="1"/>
    <s v="-"/>
    <x v="1"/>
    <n v="0"/>
    <n v="1"/>
    <n v="4"/>
  </r>
  <r>
    <n v="3440"/>
    <s v="Xavier Almeida"/>
    <s v="Ultimate"/>
    <d v="2024-09-22T00:00:00"/>
    <x v="0"/>
    <n v="15"/>
    <x v="0"/>
    <x v="0"/>
    <n v="30"/>
    <x v="0"/>
    <n v="20"/>
    <n v="15"/>
    <n v="50"/>
  </r>
  <r>
    <n v="3441"/>
    <s v="Yasmine Correia"/>
    <s v="Standard"/>
    <d v="2024-09-23T00:00:00"/>
    <x v="1"/>
    <n v="10"/>
    <x v="0"/>
    <x v="1"/>
    <s v="-"/>
    <x v="0"/>
    <n v="20"/>
    <n v="5"/>
    <n v="25"/>
  </r>
  <r>
    <n v="3442"/>
    <s v="Zacarias Almeida"/>
    <s v="Core"/>
    <d v="2024-09-24T00:00:00"/>
    <x v="0"/>
    <n v="5"/>
    <x v="1"/>
    <x v="1"/>
    <s v="-"/>
    <x v="1"/>
    <n v="0"/>
    <n v="0"/>
    <n v="5"/>
  </r>
  <r>
    <n v="3443"/>
    <s v="Amanda Costa"/>
    <s v="Ultimate"/>
    <d v="2024-09-25T00:00:00"/>
    <x v="1"/>
    <n v="15"/>
    <x v="2"/>
    <x v="0"/>
    <n v="30"/>
    <x v="0"/>
    <n v="20"/>
    <n v="20"/>
    <n v="45"/>
  </r>
  <r>
    <n v="3444"/>
    <s v="Bruno Ferreira"/>
    <s v="Standard"/>
    <d v="2024-09-26T00:00:00"/>
    <x v="0"/>
    <n v="10"/>
    <x v="2"/>
    <x v="1"/>
    <s v="-"/>
    <x v="0"/>
    <n v="20"/>
    <n v="12"/>
    <n v="18"/>
  </r>
  <r>
    <n v="3445"/>
    <s v="Carla Dias"/>
    <s v="Core"/>
    <d v="2024-09-27T00:00:00"/>
    <x v="1"/>
    <n v="5"/>
    <x v="0"/>
    <x v="1"/>
    <s v="-"/>
    <x v="1"/>
    <n v="0"/>
    <n v="2"/>
    <n v="3"/>
  </r>
  <r>
    <n v="3446"/>
    <s v="Diogo Martins"/>
    <s v="Ultimate"/>
    <d v="2024-09-28T00:00:00"/>
    <x v="0"/>
    <n v="15"/>
    <x v="1"/>
    <x v="0"/>
    <n v="30"/>
    <x v="0"/>
    <n v="20"/>
    <n v="5"/>
    <n v="60"/>
  </r>
  <r>
    <n v="3447"/>
    <s v="Elisa Campos"/>
    <s v="Standard"/>
    <d v="2024-09-29T00:00:00"/>
    <x v="1"/>
    <n v="10"/>
    <x v="0"/>
    <x v="1"/>
    <s v="-"/>
    <x v="0"/>
    <n v="20"/>
    <n v="10"/>
    <n v="20"/>
  </r>
  <r>
    <n v="3448"/>
    <s v="Fabiana Lima"/>
    <s v="Core"/>
    <d v="2024-09-30T00:00:00"/>
    <x v="0"/>
    <n v="5"/>
    <x v="2"/>
    <x v="1"/>
    <s v="-"/>
    <x v="1"/>
    <n v="0"/>
    <n v="0"/>
    <n v="5"/>
  </r>
  <r>
    <n v="3449"/>
    <s v="Gabriel Santos"/>
    <s v="Ultimate"/>
    <d v="2024-10-01T00:00:00"/>
    <x v="1"/>
    <n v="15"/>
    <x v="0"/>
    <x v="0"/>
    <n v="30"/>
    <x v="0"/>
    <n v="20"/>
    <n v="3"/>
    <n v="62"/>
  </r>
  <r>
    <n v="3450"/>
    <s v="Helena Ferreira"/>
    <s v="Standard"/>
    <d v="2024-10-02T00:00:00"/>
    <x v="0"/>
    <n v="10"/>
    <x v="1"/>
    <x v="1"/>
    <s v="-"/>
    <x v="0"/>
    <n v="20"/>
    <n v="15"/>
    <n v="15"/>
  </r>
  <r>
    <n v="3451"/>
    <s v="Ígor Nunes"/>
    <s v="Core"/>
    <d v="2024-10-03T00:00:00"/>
    <x v="1"/>
    <n v="5"/>
    <x v="0"/>
    <x v="1"/>
    <s v="-"/>
    <x v="1"/>
    <n v="0"/>
    <n v="1"/>
    <n v="4"/>
  </r>
  <r>
    <n v="3452"/>
    <s v="Joana Silveira"/>
    <s v="Ultimate"/>
    <d v="2024-10-04T00:00:00"/>
    <x v="0"/>
    <n v="15"/>
    <x v="2"/>
    <x v="0"/>
    <n v="30"/>
    <x v="0"/>
    <n v="20"/>
    <n v="7"/>
    <n v="58"/>
  </r>
  <r>
    <n v="3453"/>
    <s v="Kléber Oliveira"/>
    <s v="Standard"/>
    <d v="2024-10-05T00:00:00"/>
    <x v="1"/>
    <n v="10"/>
    <x v="0"/>
    <x v="1"/>
    <s v="-"/>
    <x v="0"/>
    <n v="20"/>
    <n v="10"/>
    <n v="20"/>
  </r>
  <r>
    <n v="3454"/>
    <s v="Luciana Morais"/>
    <s v="Core"/>
    <d v="2024-10-06T00:00:00"/>
    <x v="0"/>
    <n v="5"/>
    <x v="1"/>
    <x v="1"/>
    <s v="-"/>
    <x v="1"/>
    <n v="0"/>
    <n v="0"/>
    <n v="5"/>
  </r>
  <r>
    <n v="3455"/>
    <s v="Marcos Vinícius"/>
    <s v="Ultimate"/>
    <d v="2024-10-07T00:00:00"/>
    <x v="1"/>
    <n v="15"/>
    <x v="0"/>
    <x v="0"/>
    <n v="30"/>
    <x v="0"/>
    <n v="20"/>
    <n v="20"/>
    <n v="45"/>
  </r>
  <r>
    <n v="3456"/>
    <s v="Natália Barros"/>
    <s v="Standard"/>
    <d v="2024-10-08T00:00:00"/>
    <x v="0"/>
    <n v="10"/>
    <x v="2"/>
    <x v="1"/>
    <s v="-"/>
    <x v="0"/>
    <n v="20"/>
    <n v="15"/>
    <n v="15"/>
  </r>
  <r>
    <n v="3457"/>
    <s v="Oscar Sampaio"/>
    <s v="Core"/>
    <d v="2024-10-09T00:00:00"/>
    <x v="1"/>
    <n v="5"/>
    <x v="0"/>
    <x v="1"/>
    <s v="-"/>
    <x v="1"/>
    <n v="0"/>
    <n v="1"/>
    <n v="4"/>
  </r>
  <r>
    <n v="3458"/>
    <s v="Patrícia Leite"/>
    <s v="Ultimate"/>
    <d v="2024-10-10T00:00:00"/>
    <x v="0"/>
    <n v="15"/>
    <x v="1"/>
    <x v="0"/>
    <n v="30"/>
    <x v="0"/>
    <n v="20"/>
    <n v="3"/>
    <n v="62"/>
  </r>
  <r>
    <n v="3459"/>
    <s v="Quênia Rocha"/>
    <s v="Standard"/>
    <d v="2024-10-11T00:00:00"/>
    <x v="1"/>
    <n v="10"/>
    <x v="0"/>
    <x v="1"/>
    <s v="-"/>
    <x v="0"/>
    <n v="20"/>
    <n v="10"/>
    <n v="20"/>
  </r>
  <r>
    <n v="3460"/>
    <s v="Rafael Torres"/>
    <s v="Core"/>
    <d v="2024-10-12T00:00:00"/>
    <x v="0"/>
    <n v="5"/>
    <x v="2"/>
    <x v="1"/>
    <s v="-"/>
    <x v="1"/>
    <n v="0"/>
    <n v="0"/>
    <n v="5"/>
  </r>
  <r>
    <n v="3461"/>
    <s v="Sandra Gouveia"/>
    <s v="Ultimate"/>
    <d v="2024-10-13T00:00:00"/>
    <x v="1"/>
    <n v="15"/>
    <x v="0"/>
    <x v="0"/>
    <n v="30"/>
    <x v="0"/>
    <n v="20"/>
    <n v="15"/>
    <n v="50"/>
  </r>
  <r>
    <n v="3462"/>
    <s v="Tiago Lacerda"/>
    <s v="Standard"/>
    <d v="2024-10-14T00:00:00"/>
    <x v="0"/>
    <n v="10"/>
    <x v="1"/>
    <x v="1"/>
    <s v="-"/>
    <x v="0"/>
    <n v="20"/>
    <n v="15"/>
    <n v="15"/>
  </r>
  <r>
    <n v="3463"/>
    <s v="Ursula Fonseca"/>
    <s v="Core"/>
    <d v="2024-10-15T00:00:00"/>
    <x v="1"/>
    <n v="5"/>
    <x v="0"/>
    <x v="1"/>
    <s v="-"/>
    <x v="1"/>
    <n v="0"/>
    <n v="1"/>
    <n v="4"/>
  </r>
  <r>
    <n v="3464"/>
    <s v="Vanessa Andrade"/>
    <s v="Ultimate"/>
    <d v="2024-10-16T00:00:00"/>
    <x v="0"/>
    <n v="15"/>
    <x v="2"/>
    <x v="0"/>
    <n v="30"/>
    <x v="0"/>
    <n v="20"/>
    <n v="7"/>
    <n v="58"/>
  </r>
  <r>
    <n v="3465"/>
    <s v="William Castro"/>
    <s v="Standard"/>
    <d v="2024-10-17T00:00:00"/>
    <x v="1"/>
    <n v="10"/>
    <x v="0"/>
    <x v="1"/>
    <s v="-"/>
    <x v="0"/>
    <n v="20"/>
    <n v="10"/>
    <n v="20"/>
  </r>
  <r>
    <n v="3466"/>
    <s v="Xavier Monteiro"/>
    <s v="Core"/>
    <d v="2024-10-18T00:00:00"/>
    <x v="0"/>
    <n v="5"/>
    <x v="1"/>
    <x v="1"/>
    <s v="-"/>
    <x v="1"/>
    <n v="0"/>
    <n v="0"/>
    <n v="5"/>
  </r>
  <r>
    <n v="3467"/>
    <s v="Yasmin Figueira"/>
    <s v="Ultimate"/>
    <d v="2024-10-19T00:00:00"/>
    <x v="1"/>
    <n v="15"/>
    <x v="0"/>
    <x v="0"/>
    <n v="30"/>
    <x v="0"/>
    <n v="20"/>
    <n v="15"/>
    <n v="50"/>
  </r>
  <r>
    <n v="3468"/>
    <s v="Zacarias Mendonça"/>
    <s v="Standard"/>
    <d v="2024-10-20T00:00:00"/>
    <x v="0"/>
    <n v="10"/>
    <x v="2"/>
    <x v="1"/>
    <s v="-"/>
    <x v="0"/>
    <n v="20"/>
    <n v="12"/>
    <n v="18"/>
  </r>
  <r>
    <n v="3469"/>
    <s v="Amanda Menezes"/>
    <s v="Core"/>
    <d v="2024-10-21T00:00:00"/>
    <x v="1"/>
    <n v="5"/>
    <x v="0"/>
    <x v="1"/>
    <s v="-"/>
    <x v="1"/>
    <n v="0"/>
    <n v="2"/>
    <n v="3"/>
  </r>
  <r>
    <n v="3470"/>
    <s v="Bruno Santos"/>
    <s v="Ultimate"/>
    <d v="2024-10-22T00:00:00"/>
    <x v="0"/>
    <n v="15"/>
    <x v="1"/>
    <x v="0"/>
    <n v="30"/>
    <x v="0"/>
    <n v="20"/>
    <n v="5"/>
    <n v="60"/>
  </r>
  <r>
    <n v="3471"/>
    <s v="Carla Ferreira"/>
    <s v="Standard"/>
    <d v="2024-10-23T00:00:00"/>
    <x v="1"/>
    <n v="10"/>
    <x v="0"/>
    <x v="1"/>
    <s v="-"/>
    <x v="0"/>
    <n v="20"/>
    <n v="10"/>
    <n v="20"/>
  </r>
  <r>
    <n v="3472"/>
    <s v="Diogo Alves"/>
    <s v="Core"/>
    <d v="2024-10-24T00:00:00"/>
    <x v="0"/>
    <n v="5"/>
    <x v="2"/>
    <x v="1"/>
    <s v="-"/>
    <x v="1"/>
    <n v="0"/>
    <n v="0"/>
    <n v="5"/>
  </r>
  <r>
    <n v="3473"/>
    <s v="Elisa Neves"/>
    <s v="Ultimate"/>
    <d v="2024-10-25T00:00:00"/>
    <x v="1"/>
    <n v="15"/>
    <x v="0"/>
    <x v="0"/>
    <n v="30"/>
    <x v="0"/>
    <n v="20"/>
    <n v="3"/>
    <n v="62"/>
  </r>
  <r>
    <n v="3474"/>
    <s v="Fabiano Pires"/>
    <s v="Standard"/>
    <d v="2024-10-26T00:00:00"/>
    <x v="0"/>
    <n v="10"/>
    <x v="1"/>
    <x v="1"/>
    <s v="-"/>
    <x v="0"/>
    <n v="20"/>
    <n v="15"/>
    <n v="15"/>
  </r>
  <r>
    <n v="3475"/>
    <s v="Giovana Ribeiro"/>
    <s v="Core"/>
    <d v="2024-10-27T00:00:00"/>
    <x v="1"/>
    <n v="5"/>
    <x v="0"/>
    <x v="1"/>
    <s v="-"/>
    <x v="1"/>
    <n v="0"/>
    <n v="1"/>
    <n v="4"/>
  </r>
  <r>
    <n v="3476"/>
    <s v="Hélio Costa"/>
    <s v="Ultimate"/>
    <d v="2024-10-28T00:00:00"/>
    <x v="0"/>
    <n v="15"/>
    <x v="2"/>
    <x v="0"/>
    <n v="30"/>
    <x v="0"/>
    <n v="20"/>
    <n v="7"/>
    <n v="58"/>
  </r>
  <r>
    <n v="3477"/>
    <s v="Íris Loureiro"/>
    <s v="Standard"/>
    <d v="2024-10-29T00:00:00"/>
    <x v="1"/>
    <n v="10"/>
    <x v="0"/>
    <x v="1"/>
    <s v="-"/>
    <x v="0"/>
    <n v="20"/>
    <n v="10"/>
    <n v="20"/>
  </r>
  <r>
    <n v="3478"/>
    <s v="João Pereira"/>
    <s v="Core"/>
    <d v="2024-10-30T00:00:00"/>
    <x v="0"/>
    <n v="5"/>
    <x v="1"/>
    <x v="1"/>
    <s v="-"/>
    <x v="1"/>
    <n v="0"/>
    <n v="0"/>
    <n v="5"/>
  </r>
  <r>
    <n v="3479"/>
    <s v="Klara Silva"/>
    <s v="Ultimate"/>
    <d v="2024-10-31T00:00:00"/>
    <x v="1"/>
    <n v="15"/>
    <x v="0"/>
    <x v="0"/>
    <n v="30"/>
    <x v="0"/>
    <n v="20"/>
    <n v="20"/>
    <n v="45"/>
  </r>
  <r>
    <n v="3480"/>
    <s v="Luciana Barros"/>
    <s v="Standard"/>
    <d v="2024-11-01T00:00:00"/>
    <x v="0"/>
    <n v="10"/>
    <x v="2"/>
    <x v="1"/>
    <s v="-"/>
    <x v="0"/>
    <n v="20"/>
    <n v="15"/>
    <n v="15"/>
  </r>
  <r>
    <n v="3481"/>
    <s v="Marcos Gomes"/>
    <s v="Core"/>
    <d v="2024-11-02T00:00:00"/>
    <x v="1"/>
    <n v="5"/>
    <x v="0"/>
    <x v="1"/>
    <s v="-"/>
    <x v="1"/>
    <n v="0"/>
    <n v="1"/>
    <n v="4"/>
  </r>
  <r>
    <n v="3482"/>
    <s v="Natália Soares"/>
    <s v="Ultimate"/>
    <d v="2024-11-03T00:00:00"/>
    <x v="0"/>
    <n v="15"/>
    <x v="1"/>
    <x v="0"/>
    <n v="30"/>
    <x v="0"/>
    <n v="20"/>
    <n v="3"/>
    <n v="62"/>
  </r>
  <r>
    <n v="3483"/>
    <s v="Oscar Machado"/>
    <s v="Standard"/>
    <d v="2024-11-04T00:00:00"/>
    <x v="1"/>
    <n v="10"/>
    <x v="0"/>
    <x v="1"/>
    <s v="-"/>
    <x v="0"/>
    <n v="20"/>
    <n v="10"/>
    <n v="20"/>
  </r>
  <r>
    <n v="3484"/>
    <s v="Patrícia Lima"/>
    <s v="Core"/>
    <d v="2024-11-05T00:00:00"/>
    <x v="0"/>
    <n v="5"/>
    <x v="2"/>
    <x v="1"/>
    <s v="-"/>
    <x v="1"/>
    <n v="0"/>
    <n v="0"/>
    <n v="5"/>
  </r>
  <r>
    <n v="3485"/>
    <s v="Quirino Neto"/>
    <s v="Ultimate"/>
    <d v="2024-11-06T00:00:00"/>
    <x v="1"/>
    <n v="15"/>
    <x v="0"/>
    <x v="0"/>
    <n v="30"/>
    <x v="0"/>
    <n v="20"/>
    <n v="15"/>
    <n v="50"/>
  </r>
  <r>
    <n v="3486"/>
    <s v="Rafaela Souza"/>
    <s v="Core"/>
    <d v="2024-11-07T00:00:00"/>
    <x v="0"/>
    <n v="5"/>
    <x v="0"/>
    <x v="1"/>
    <s v="-"/>
    <x v="1"/>
    <n v="0"/>
    <n v="0"/>
    <n v="5"/>
  </r>
  <r>
    <n v="3487"/>
    <s v="Sandro Almeida"/>
    <s v="Ultimate"/>
    <d v="2024-11-08T00:00:00"/>
    <x v="1"/>
    <n v="15"/>
    <x v="2"/>
    <x v="0"/>
    <n v="30"/>
    <x v="0"/>
    <n v="20"/>
    <n v="7"/>
    <n v="58"/>
  </r>
  <r>
    <n v="3488"/>
    <s v="Tânia Ribeiro"/>
    <s v="Standard"/>
    <d v="2024-11-09T00:00:00"/>
    <x v="0"/>
    <n v="10"/>
    <x v="1"/>
    <x v="1"/>
    <s v="-"/>
    <x v="0"/>
    <n v="20"/>
    <n v="10"/>
    <n v="20"/>
  </r>
  <r>
    <n v="3489"/>
    <s v="Ugo Dias"/>
    <s v="Core"/>
    <d v="2024-11-10T00:00:00"/>
    <x v="1"/>
    <n v="5"/>
    <x v="2"/>
    <x v="1"/>
    <s v="-"/>
    <x v="1"/>
    <n v="0"/>
    <n v="1"/>
    <n v="4"/>
  </r>
  <r>
    <n v="3490"/>
    <s v="Valéria Lima"/>
    <s v="Ultimate"/>
    <d v="2024-11-11T00:00:00"/>
    <x v="0"/>
    <n v="15"/>
    <x v="0"/>
    <x v="0"/>
    <n v="30"/>
    <x v="0"/>
    <n v="20"/>
    <n v="15"/>
    <n v="50"/>
  </r>
  <r>
    <n v="3491"/>
    <s v="William Fernandes"/>
    <s v="Standard"/>
    <d v="2024-11-12T00:00:00"/>
    <x v="1"/>
    <n v="10"/>
    <x v="0"/>
    <x v="1"/>
    <s v="-"/>
    <x v="0"/>
    <n v="20"/>
    <n v="5"/>
    <n v="25"/>
  </r>
  <r>
    <n v="3492"/>
    <s v="Xuxa Mendes"/>
    <s v="Core"/>
    <d v="2024-11-13T00:00:00"/>
    <x v="0"/>
    <n v="5"/>
    <x v="1"/>
    <x v="1"/>
    <s v="-"/>
    <x v="1"/>
    <n v="0"/>
    <n v="0"/>
    <n v="5"/>
  </r>
  <r>
    <n v="3493"/>
    <s v="Ygor Farias"/>
    <s v="Ultimate"/>
    <d v="2024-11-14T00:00:00"/>
    <x v="1"/>
    <n v="15"/>
    <x v="2"/>
    <x v="0"/>
    <n v="30"/>
    <x v="0"/>
    <n v="20"/>
    <n v="20"/>
    <n v="45"/>
  </r>
  <r>
    <n v="3494"/>
    <s v="Zilda Barros"/>
    <s v="Standard"/>
    <d v="2024-11-15T00:00:00"/>
    <x v="0"/>
    <n v="10"/>
    <x v="2"/>
    <x v="1"/>
    <s v="-"/>
    <x v="0"/>
    <n v="20"/>
    <n v="12"/>
    <n v="18"/>
  </r>
  <r>
    <n v="3495"/>
    <s v="Amanda Santos"/>
    <s v="Core"/>
    <d v="2024-11-16T00:00:00"/>
    <x v="1"/>
    <n v="5"/>
    <x v="0"/>
    <x v="1"/>
    <s v="-"/>
    <x v="1"/>
    <n v="0"/>
    <n v="2"/>
    <n v="3"/>
  </r>
  <r>
    <n v="3496"/>
    <s v="Bruno Costa"/>
    <s v="Ultimate"/>
    <d v="2024-11-17T00:00:00"/>
    <x v="0"/>
    <n v="15"/>
    <x v="1"/>
    <x v="0"/>
    <n v="30"/>
    <x v="0"/>
    <n v="20"/>
    <n v="5"/>
    <n v="60"/>
  </r>
  <r>
    <n v="3497"/>
    <s v="Carla Rodrigues"/>
    <s v="Standard"/>
    <d v="2024-11-18T00:00:00"/>
    <x v="1"/>
    <n v="10"/>
    <x v="0"/>
    <x v="1"/>
    <s v="-"/>
    <x v="0"/>
    <n v="20"/>
    <n v="10"/>
    <n v="20"/>
  </r>
  <r>
    <n v="3498"/>
    <s v="Diogo Pereira"/>
    <s v="Core"/>
    <d v="2024-11-19T00:00:00"/>
    <x v="0"/>
    <n v="5"/>
    <x v="2"/>
    <x v="1"/>
    <s v="-"/>
    <x v="1"/>
    <n v="0"/>
    <n v="0"/>
    <n v="5"/>
  </r>
  <r>
    <n v="3499"/>
    <s v="Elisa Correia"/>
    <s v="Ultimate"/>
    <d v="2024-11-20T00:00:00"/>
    <x v="1"/>
    <n v="15"/>
    <x v="0"/>
    <x v="0"/>
    <n v="30"/>
    <x v="0"/>
    <n v="20"/>
    <n v="3"/>
    <n v="62"/>
  </r>
  <r>
    <n v="3500"/>
    <s v="Fábio Lourenço"/>
    <s v="Standard"/>
    <d v="2024-11-21T00:00:00"/>
    <x v="0"/>
    <n v="10"/>
    <x v="1"/>
    <x v="1"/>
    <s v="-"/>
    <x v="0"/>
    <n v="20"/>
    <n v="15"/>
    <n v="15"/>
  </r>
  <r>
    <n v="3501"/>
    <s v="Gabriela Neves"/>
    <s v="Core"/>
    <d v="2024-11-22T00:00:00"/>
    <x v="1"/>
    <n v="5"/>
    <x v="0"/>
    <x v="1"/>
    <s v="-"/>
    <x v="1"/>
    <n v="0"/>
    <n v="1"/>
    <n v="4"/>
  </r>
  <r>
    <n v="3502"/>
    <s v="Henrique Gonçalves"/>
    <s v="Ultimate"/>
    <d v="2024-11-23T00:00:00"/>
    <x v="0"/>
    <n v="15"/>
    <x v="2"/>
    <x v="0"/>
    <n v="30"/>
    <x v="0"/>
    <n v="20"/>
    <n v="7"/>
    <n v="58"/>
  </r>
  <r>
    <n v="3503"/>
    <s v="Íris Santos"/>
    <s v="Standard"/>
    <d v="2024-11-24T00:00:00"/>
    <x v="1"/>
    <n v="10"/>
    <x v="0"/>
    <x v="1"/>
    <s v="-"/>
    <x v="0"/>
    <n v="20"/>
    <n v="10"/>
    <n v="20"/>
  </r>
  <r>
    <n v="3504"/>
    <s v="João Marcelo Alves"/>
    <s v="Core"/>
    <d v="2024-11-25T00:00:00"/>
    <x v="0"/>
    <n v="5"/>
    <x v="1"/>
    <x v="1"/>
    <s v="-"/>
    <x v="1"/>
    <n v="0"/>
    <n v="0"/>
    <n v="5"/>
  </r>
  <r>
    <n v="3505"/>
    <s v="Klara Fonseca"/>
    <s v="Ultimate"/>
    <d v="2024-11-26T00:00:00"/>
    <x v="1"/>
    <n v="15"/>
    <x v="0"/>
    <x v="0"/>
    <n v="30"/>
    <x v="0"/>
    <n v="20"/>
    <n v="20"/>
    <n v="45"/>
  </r>
  <r>
    <n v="3506"/>
    <s v="Lucas Mendonça"/>
    <s v="Standard"/>
    <d v="2024-11-27T00:00:00"/>
    <x v="0"/>
    <n v="10"/>
    <x v="2"/>
    <x v="1"/>
    <s v="-"/>
    <x v="0"/>
    <n v="20"/>
    <n v="15"/>
    <n v="15"/>
  </r>
  <r>
    <n v="3507"/>
    <s v="Marcela Torres"/>
    <s v="Core"/>
    <d v="2024-11-28T00:00:00"/>
    <x v="1"/>
    <n v="5"/>
    <x v="0"/>
    <x v="1"/>
    <s v="-"/>
    <x v="1"/>
    <n v="0"/>
    <n v="1"/>
    <n v="4"/>
  </r>
  <r>
    <n v="3508"/>
    <s v="Natália Castro"/>
    <s v="Ultimate"/>
    <d v="2024-11-29T00:00:00"/>
    <x v="0"/>
    <n v="15"/>
    <x v="1"/>
    <x v="0"/>
    <n v="30"/>
    <x v="0"/>
    <n v="20"/>
    <n v="3"/>
    <n v="62"/>
  </r>
  <r>
    <n v="3509"/>
    <s v="Oscar Martins"/>
    <s v="Standard"/>
    <d v="2024-11-30T00:00:00"/>
    <x v="1"/>
    <n v="10"/>
    <x v="0"/>
    <x v="1"/>
    <s v="-"/>
    <x v="0"/>
    <n v="20"/>
    <n v="10"/>
    <n v="20"/>
  </r>
  <r>
    <n v="3510"/>
    <s v="Patrícia Oliveira"/>
    <s v="Core"/>
    <d v="2024-12-01T00:00:00"/>
    <x v="0"/>
    <n v="5"/>
    <x v="2"/>
    <x v="1"/>
    <s v="-"/>
    <x v="1"/>
    <n v="0"/>
    <n v="0"/>
    <n v="5"/>
  </r>
  <r>
    <n v="3511"/>
    <s v="Quentin Nogueira"/>
    <s v="Ultimate"/>
    <d v="2024-12-02T00:00:00"/>
    <x v="1"/>
    <n v="15"/>
    <x v="0"/>
    <x v="0"/>
    <n v="30"/>
    <x v="0"/>
    <n v="20"/>
    <n v="15"/>
    <n v="50"/>
  </r>
  <r>
    <n v="3512"/>
    <s v="Raquel Silva"/>
    <s v="Standard"/>
    <d v="2024-12-03T00:00:00"/>
    <x v="0"/>
    <n v="10"/>
    <x v="1"/>
    <x v="1"/>
    <s v="-"/>
    <x v="0"/>
    <n v="20"/>
    <n v="15"/>
    <n v="15"/>
  </r>
  <r>
    <n v="3513"/>
    <s v="Sandro Gomes"/>
    <s v="Core"/>
    <d v="2024-12-04T00:00:00"/>
    <x v="1"/>
    <n v="5"/>
    <x v="0"/>
    <x v="1"/>
    <s v="-"/>
    <x v="1"/>
    <n v="0"/>
    <n v="1"/>
    <n v="4"/>
  </r>
  <r>
    <n v="3514"/>
    <s v="Tânia Machado"/>
    <s v="Ultimate"/>
    <d v="2024-12-05T00:00:00"/>
    <x v="0"/>
    <n v="15"/>
    <x v="2"/>
    <x v="0"/>
    <n v="30"/>
    <x v="0"/>
    <n v="20"/>
    <n v="7"/>
    <n v="58"/>
  </r>
  <r>
    <n v="3515"/>
    <s v="Ursula Silva"/>
    <s v="Standard"/>
    <d v="2024-12-06T00:00:00"/>
    <x v="1"/>
    <n v="10"/>
    <x v="0"/>
    <x v="1"/>
    <s v="-"/>
    <x v="0"/>
    <n v="20"/>
    <n v="10"/>
    <n v="20"/>
  </r>
  <r>
    <n v="3516"/>
    <s v="Vanessa Moraes"/>
    <s v="Core"/>
    <d v="2024-12-07T00:00:00"/>
    <x v="0"/>
    <n v="5"/>
    <x v="1"/>
    <x v="1"/>
    <s v="-"/>
    <x v="1"/>
    <n v="0"/>
    <n v="0"/>
    <n v="5"/>
  </r>
  <r>
    <n v="3517"/>
    <s v="William Carvalho"/>
    <s v="Ultimate"/>
    <d v="2024-12-08T00:00:00"/>
    <x v="1"/>
    <n v="15"/>
    <x v="0"/>
    <x v="0"/>
    <n v="30"/>
    <x v="0"/>
    <n v="20"/>
    <n v="20"/>
    <n v="45"/>
  </r>
  <r>
    <n v="3518"/>
    <s v="Xavier Reis"/>
    <s v="Standard"/>
    <d v="2024-12-09T00:00:00"/>
    <x v="0"/>
    <n v="10"/>
    <x v="2"/>
    <x v="1"/>
    <s v="-"/>
    <x v="0"/>
    <n v="20"/>
    <n v="12"/>
    <n v="18"/>
  </r>
  <r>
    <n v="3519"/>
    <s v="Yasmin Rocha"/>
    <s v="Core"/>
    <d v="2024-12-10T00:00:00"/>
    <x v="1"/>
    <n v="5"/>
    <x v="0"/>
    <x v="1"/>
    <s v="-"/>
    <x v="1"/>
    <n v="0"/>
    <n v="2"/>
    <n v="3"/>
  </r>
  <r>
    <n v="3520"/>
    <s v="Zacarias Duarte"/>
    <s v="Ultimate"/>
    <d v="2024-12-11T00:00:00"/>
    <x v="0"/>
    <n v="15"/>
    <x v="1"/>
    <x v="0"/>
    <n v="30"/>
    <x v="0"/>
    <n v="20"/>
    <n v="5"/>
    <n v="60"/>
  </r>
  <r>
    <n v="3521"/>
    <s v="Amanda Freitas"/>
    <s v="Standard"/>
    <d v="2024-12-12T00:00:00"/>
    <x v="1"/>
    <n v="10"/>
    <x v="0"/>
    <x v="1"/>
    <s v="-"/>
    <x v="0"/>
    <n v="20"/>
    <n v="10"/>
    <n v="20"/>
  </r>
  <r>
    <n v="3522"/>
    <s v="Bruno Almeida"/>
    <s v="Core"/>
    <d v="2024-12-13T00:00:00"/>
    <x v="0"/>
    <n v="5"/>
    <x v="2"/>
    <x v="1"/>
    <s v="-"/>
    <x v="1"/>
    <n v="0"/>
    <n v="0"/>
    <n v="5"/>
  </r>
  <r>
    <n v="3523"/>
    <s v="Carla Siqueira"/>
    <s v="Ultimate"/>
    <d v="2024-12-14T00:00:00"/>
    <x v="1"/>
    <n v="15"/>
    <x v="0"/>
    <x v="0"/>
    <n v="30"/>
    <x v="0"/>
    <n v="20"/>
    <n v="3"/>
    <n v="62"/>
  </r>
  <r>
    <n v="3524"/>
    <s v="Diogo Ramos"/>
    <s v="Standard"/>
    <d v="2024-12-15T00:00:00"/>
    <x v="0"/>
    <n v="10"/>
    <x v="1"/>
    <x v="1"/>
    <s v="-"/>
    <x v="0"/>
    <n v="20"/>
    <n v="15"/>
    <n v="15"/>
  </r>
  <r>
    <n v="3525"/>
    <s v="Elisa Magalhães"/>
    <s v="Core"/>
    <d v="2024-12-16T00:00:00"/>
    <x v="1"/>
    <n v="5"/>
    <x v="0"/>
    <x v="1"/>
    <s v="-"/>
    <x v="1"/>
    <n v="0"/>
    <n v="1"/>
    <n v="4"/>
  </r>
  <r>
    <m/>
    <m/>
    <m/>
    <m/>
    <x v="2"/>
    <m/>
    <x v="3"/>
    <x v="2"/>
    <m/>
    <x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6C5C1-1EF4-4435-A009-1234FCDA510C}" name="Tabela dinâmica2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" firstHeaderRow="1" firstDataRow="1" firstDataCol="0" rowPageCount="1" colPageCount="1"/>
  <pivotFields count="13"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1"/>
        <item h="1" x="0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pageFields count="1">
    <pageField fld="6" hier="-1"/>
  </pageFields>
  <dataFields count="1">
    <dataField name="Soma de Total Value" fld="12" baseField="0" baseItem="0" numFmtId="4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B057E-FA1A-48C7-8D6D-B5900047B322}" name="Tabela dinâmica3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13"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Page" multipleItemSelectionAllowed="1" showAll="0">
      <items count="5">
        <item x="1"/>
        <item h="1" x="0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formats count="1">
    <format dxfId="3">
      <pivotArea collapsedLevelsAreSubtotals="1" fieldPosition="0">
        <references count="1">
          <reference field="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33A86-069F-463A-9A76-47C86E40BB29}" name="Tabela dinâmica4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13"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1"/>
        <item h="1" x="0"/>
        <item h="1" x="2"/>
        <item h="1"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7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formats count="2">
    <format dxfId="2">
      <pivotArea collapsedLevelsAreSubtotals="1" fieldPosition="0">
        <references count="1">
          <reference field="7" count="2">
            <x v="0"/>
            <x v="1"/>
          </reference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F55F9-4813-45EF-9D27-019AB0DE373A}" name="Tabela dinâmica5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13"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1"/>
        <item h="1" x="0"/>
        <item h="1" x="2"/>
        <item h="1" x="3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</pivotFields>
  <rowFields count="1">
    <field x="9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formats count="1">
    <format dxfId="1">
      <pivotArea collapsedLevelsAreSubtotals="1" fieldPosition="0">
        <references count="1">
          <reference field="9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3F3CF4C-5CCD-4C7B-90B3-E21B8F16A75D}" sourceName="Subscription Type">
  <pivotTables>
    <pivotTable tabId="8" name="Tabela dinâmica5"/>
    <pivotTable tabId="5" name="Tabela dinâmica2"/>
    <pivotTable tabId="6" name="Tabela dinâmica3"/>
    <pivotTable tabId="7" name="Tabela dinâmica4"/>
  </pivotTables>
  <data>
    <tabular pivotCacheId="1581647814">
      <items count="4">
        <i x="1" s="1"/>
        <i x="0"/>
        <i x="2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9EFF8FE9-1A5C-47A2-97E4-72A506D517D3}" cache="SegmentaçãodeDados_Subscription_Type" caption="Subscription Type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8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7"/>
    <tableColumn id="2" xr3:uid="{53DD39D0-2220-4121-9E9D-4EAA7E151C0F}" name="Name" dataDxfId="16"/>
    <tableColumn id="3" xr3:uid="{4F5FF271-4C57-4BE0-8F2C-F82C8551625C}" name="Plan" dataDxfId="15"/>
    <tableColumn id="4" xr3:uid="{8C17EB93-79B9-4E55-B8F7-BEB82F8253E9}" name="Start Date" dataDxfId="14"/>
    <tableColumn id="5" xr3:uid="{48CEDF9B-1689-482A-A828-5CCE7713264A}" name="Auto Renewal" dataDxfId="13"/>
    <tableColumn id="6" xr3:uid="{78B82374-9AA7-4E38-AE4F-78CDE6C83720}" name="Subscription Price" dataDxfId="12" dataCellStyle="Moeda"/>
    <tableColumn id="7" xr3:uid="{F2433F68-AF33-49D0-B1FB-19A396074EDE}" name="Subscription Type" dataDxfId="11"/>
    <tableColumn id="8" xr3:uid="{FD4D9C95-F6E5-4933-9068-A71FF7DF9343}" name="EA Play Season Pass" dataDxfId="10"/>
    <tableColumn id="13" xr3:uid="{978DD0D2-834E-4CE4-A39B-30976086932F}" name="EA Play Season Pass_x000a_Price" dataDxfId="9" dataCellStyle="Moeda"/>
    <tableColumn id="9" xr3:uid="{6E29F111-C395-4580-9DAD-3407D9E8B1A4}" name="Minecraft Season Pass" dataDxfId="8"/>
    <tableColumn id="10" xr3:uid="{EF544EAA-7F25-4FD5-A10E-8E62804DB9E3}" name="Minecraft Season Pass Price" dataDxfId="7" dataCellStyle="Moeda"/>
    <tableColumn id="11" xr3:uid="{7F6EB64A-1F07-4E48-9F0F-AC7D9DCD26F8}" name="Coupon Value" dataDxfId="6" dataCellStyle="Moeda"/>
    <tableColumn id="12" xr3:uid="{2B04ABC8-DE6F-426E-ADC0-D8AFC68CA58E}" name="Total Value" dataDxfId="5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P12" sqref="P12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8</v>
      </c>
      <c r="E5" s="7" t="s">
        <v>6</v>
      </c>
      <c r="F5" t="s">
        <v>7</v>
      </c>
    </row>
    <row r="6" spans="2:16" x14ac:dyDescent="0.35">
      <c r="B6" s="4" t="s">
        <v>3</v>
      </c>
      <c r="C6" t="s">
        <v>8</v>
      </c>
    </row>
    <row r="7" spans="2:16" x14ac:dyDescent="0.35">
      <c r="B7" s="5" t="s">
        <v>4</v>
      </c>
      <c r="C7" t="s">
        <v>9</v>
      </c>
    </row>
    <row r="8" spans="2:16" x14ac:dyDescent="0.35">
      <c r="B8" s="6" t="s">
        <v>5</v>
      </c>
      <c r="C8" t="s">
        <v>9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headerFooter>
    <oddHeader>&amp;R&amp;"Calibri"&amp;10&amp;K000000 Classificação: Público&amp;1#_x000D_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6BBD-D35E-4C36-992F-F710D284D03A}">
  <sheetPr>
    <tabColor theme="3" tint="0.749992370372631"/>
  </sheetPr>
  <dimension ref="A1:C4"/>
  <sheetViews>
    <sheetView workbookViewId="0">
      <selection activeCell="C4" sqref="C4"/>
    </sheetView>
  </sheetViews>
  <sheetFormatPr defaultRowHeight="14.5" x14ac:dyDescent="0.35"/>
  <cols>
    <col min="1" max="1" width="17.7265625" bestFit="1" customWidth="1"/>
    <col min="2" max="2" width="8.6328125" bestFit="1" customWidth="1"/>
    <col min="3" max="3" width="11.6328125" bestFit="1" customWidth="1"/>
  </cols>
  <sheetData>
    <row r="1" spans="1:3" x14ac:dyDescent="0.35">
      <c r="A1" s="12" t="s">
        <v>16</v>
      </c>
      <c r="B1" t="s">
        <v>24</v>
      </c>
    </row>
    <row r="3" spans="1:3" x14ac:dyDescent="0.35">
      <c r="A3" t="s">
        <v>313</v>
      </c>
    </row>
    <row r="4" spans="1:3" x14ac:dyDescent="0.35">
      <c r="A4" s="14">
        <v>1754</v>
      </c>
      <c r="C4" s="19">
        <f>GETPIVOTDATA("Total Value",$A$3)</f>
        <v>1754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65C0F-C5F3-4475-B793-B277CD0C8E24}">
  <sheetPr>
    <tabColor theme="3" tint="0.749992370372631"/>
  </sheetPr>
  <dimension ref="A1:E6"/>
  <sheetViews>
    <sheetView workbookViewId="0">
      <selection activeCell="D4" sqref="D4:E5"/>
    </sheetView>
  </sheetViews>
  <sheetFormatPr defaultRowHeight="14.5" x14ac:dyDescent="0.35"/>
  <cols>
    <col min="1" max="1" width="17" bestFit="1" customWidth="1"/>
    <col min="2" max="2" width="17.7265625" bestFit="1" customWidth="1"/>
    <col min="5" max="5" width="11.6328125" bestFit="1" customWidth="1"/>
  </cols>
  <sheetData>
    <row r="1" spans="1:5" x14ac:dyDescent="0.35">
      <c r="A1" s="12" t="s">
        <v>16</v>
      </c>
      <c r="B1" t="s">
        <v>24</v>
      </c>
    </row>
    <row r="3" spans="1:5" x14ac:dyDescent="0.35">
      <c r="A3" s="12" t="s">
        <v>314</v>
      </c>
      <c r="B3" t="s">
        <v>313</v>
      </c>
    </row>
    <row r="4" spans="1:5" x14ac:dyDescent="0.35">
      <c r="A4" s="15" t="s">
        <v>23</v>
      </c>
      <c r="B4" s="14">
        <v>217</v>
      </c>
      <c r="D4" t="s">
        <v>318</v>
      </c>
      <c r="E4" s="19">
        <f>GETPIVOTDATA("Total Value",$A$3,"Auto Renewal","No")</f>
        <v>217</v>
      </c>
    </row>
    <row r="5" spans="1:5" x14ac:dyDescent="0.35">
      <c r="A5" s="15" t="s">
        <v>19</v>
      </c>
      <c r="B5" s="14">
        <v>1537</v>
      </c>
      <c r="D5" t="s">
        <v>317</v>
      </c>
      <c r="E5" s="19">
        <f>GETPIVOTDATA("Total Value",$A$3,"Auto Renewal","Yes")</f>
        <v>1537</v>
      </c>
    </row>
    <row r="6" spans="1:5" x14ac:dyDescent="0.35">
      <c r="A6" s="15" t="s">
        <v>315</v>
      </c>
      <c r="B6" s="13">
        <v>1754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96AFB-4457-4E32-A0A4-BD5CE69471C5}">
  <sheetPr>
    <tabColor theme="3" tint="0.749992370372631"/>
  </sheetPr>
  <dimension ref="A1:D6"/>
  <sheetViews>
    <sheetView workbookViewId="0">
      <selection activeCell="B5" sqref="B5"/>
    </sheetView>
  </sheetViews>
  <sheetFormatPr defaultRowHeight="14.5" x14ac:dyDescent="0.35"/>
  <cols>
    <col min="1" max="1" width="17" bestFit="1" customWidth="1"/>
    <col min="2" max="2" width="17.7265625" bestFit="1" customWidth="1"/>
    <col min="4" max="4" width="11.6328125" bestFit="1" customWidth="1"/>
  </cols>
  <sheetData>
    <row r="1" spans="1:4" x14ac:dyDescent="0.35">
      <c r="A1" s="12" t="s">
        <v>16</v>
      </c>
      <c r="B1" t="s">
        <v>24</v>
      </c>
    </row>
    <row r="3" spans="1:4" x14ac:dyDescent="0.35">
      <c r="A3" s="12" t="s">
        <v>314</v>
      </c>
      <c r="B3" t="s">
        <v>313</v>
      </c>
    </row>
    <row r="4" spans="1:4" x14ac:dyDescent="0.35">
      <c r="A4" s="15" t="s">
        <v>23</v>
      </c>
      <c r="B4" s="14">
        <v>568</v>
      </c>
    </row>
    <row r="5" spans="1:4" x14ac:dyDescent="0.35">
      <c r="A5" s="15" t="s">
        <v>19</v>
      </c>
      <c r="B5" s="14">
        <v>1186</v>
      </c>
      <c r="D5" s="19">
        <f>GETPIVOTDATA("Total Value",$A$3,"EA Play Season Pass","Yes")</f>
        <v>1186</v>
      </c>
    </row>
    <row r="6" spans="1:4" x14ac:dyDescent="0.35">
      <c r="A6" s="15" t="s">
        <v>315</v>
      </c>
      <c r="B6" s="14">
        <v>1754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EB23-1BD5-44E5-919F-4B8443922DED}">
  <sheetPr>
    <tabColor theme="3" tint="0.749992370372631"/>
  </sheetPr>
  <dimension ref="A1:D7"/>
  <sheetViews>
    <sheetView workbookViewId="0">
      <selection activeCell="B1" sqref="B1"/>
    </sheetView>
  </sheetViews>
  <sheetFormatPr defaultRowHeight="14.5" x14ac:dyDescent="0.35"/>
  <cols>
    <col min="1" max="1" width="17" bestFit="1" customWidth="1"/>
    <col min="2" max="2" width="17.7265625" bestFit="1" customWidth="1"/>
    <col min="4" max="4" width="11.6328125" bestFit="1" customWidth="1"/>
  </cols>
  <sheetData>
    <row r="1" spans="1:4" x14ac:dyDescent="0.35">
      <c r="A1" s="12" t="s">
        <v>16</v>
      </c>
      <c r="B1" t="s">
        <v>24</v>
      </c>
    </row>
    <row r="3" spans="1:4" x14ac:dyDescent="0.35">
      <c r="A3" s="12" t="s">
        <v>314</v>
      </c>
      <c r="B3" t="s">
        <v>313</v>
      </c>
    </row>
    <row r="4" spans="1:4" x14ac:dyDescent="0.35">
      <c r="A4" s="15" t="s">
        <v>23</v>
      </c>
      <c r="B4" s="14">
        <v>120</v>
      </c>
    </row>
    <row r="5" spans="1:4" x14ac:dyDescent="0.35">
      <c r="A5" s="15" t="s">
        <v>19</v>
      </c>
      <c r="B5" s="14">
        <v>1634</v>
      </c>
      <c r="D5" s="19">
        <f>GETPIVOTDATA("Total Value",$A$3,"Minecraft Season Pass","Yes")</f>
        <v>1634</v>
      </c>
    </row>
    <row r="6" spans="1:4" x14ac:dyDescent="0.35">
      <c r="A6" s="15" t="s">
        <v>315</v>
      </c>
      <c r="B6" s="13">
        <v>1754</v>
      </c>
    </row>
    <row r="7" spans="1:4" x14ac:dyDescent="0.35">
      <c r="D7" s="19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8" sqref="E38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7.90625" customWidth="1"/>
    <col min="13" max="13" width="13" customWidth="1"/>
  </cols>
  <sheetData>
    <row r="1" spans="1:13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headerFooter>
    <oddHeader>&amp;R&amp;"Calibri"&amp;10&amp;K000000 Classificação: Público&amp;1#_x000D_</oddHeader>
  </headerFooter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BN426"/>
  <sheetViews>
    <sheetView showGridLines="0" tabSelected="1" zoomScale="80" zoomScaleNormal="80" workbookViewId="0">
      <selection activeCell="E18" sqref="E18"/>
    </sheetView>
  </sheetViews>
  <sheetFormatPr defaultRowHeight="14.5" x14ac:dyDescent="0.35"/>
  <cols>
    <col min="1" max="1" width="20" style="4" customWidth="1"/>
    <col min="2" max="2" width="3.54296875" style="4" customWidth="1"/>
    <col min="3" max="3" width="8.7265625" style="4"/>
    <col min="9" max="9" width="12.1796875" bestFit="1" customWidth="1"/>
    <col min="12" max="12" width="6.54296875" customWidth="1"/>
  </cols>
  <sheetData>
    <row r="1" spans="1:66" x14ac:dyDescent="0.35"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</row>
    <row r="2" spans="1:66" ht="27.75" customHeight="1" x14ac:dyDescent="0.6">
      <c r="D2" s="16"/>
      <c r="E2" s="16"/>
      <c r="F2" s="17" t="s">
        <v>316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</row>
    <row r="3" spans="1:66" ht="8.25" customHeight="1" x14ac:dyDescent="0.35">
      <c r="D3" s="1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</row>
    <row r="4" spans="1:66" ht="7.5" customHeight="1" x14ac:dyDescent="0.35"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</row>
    <row r="5" spans="1:66" ht="10.5" customHeight="1" x14ac:dyDescent="0.35"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</row>
    <row r="6" spans="1:66" ht="9.75" customHeight="1" x14ac:dyDescent="0.35"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</row>
    <row r="7" spans="1:66" x14ac:dyDescent="0.35">
      <c r="D7" s="7"/>
      <c r="E7" s="7"/>
      <c r="F7" s="7"/>
      <c r="G7" s="7"/>
      <c r="H7" s="7"/>
      <c r="I7" s="18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66" x14ac:dyDescent="0.35"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66" x14ac:dyDescent="0.35"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66" x14ac:dyDescent="0.35"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66" x14ac:dyDescent="0.35"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66" ht="18.5" x14ac:dyDescent="0.45">
      <c r="A12" s="20" t="s">
        <v>319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66" x14ac:dyDescent="0.35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66" x14ac:dyDescent="0.35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66" x14ac:dyDescent="0.35"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66" x14ac:dyDescent="0.35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4:31" x14ac:dyDescent="0.35"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4:31" x14ac:dyDescent="0.35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4:31" x14ac:dyDescent="0.35"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4:31" x14ac:dyDescent="0.35"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4:31" x14ac:dyDescent="0.35"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4:31" x14ac:dyDescent="0.35"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4:31" x14ac:dyDescent="0.35"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4:31" x14ac:dyDescent="0.35"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4:31" x14ac:dyDescent="0.35"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4:31" x14ac:dyDescent="0.35"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4:31" x14ac:dyDescent="0.35"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4:31" x14ac:dyDescent="0.35"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4:31" x14ac:dyDescent="0.35"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4:31" x14ac:dyDescent="0.35"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4:31" x14ac:dyDescent="0.35"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4:31" x14ac:dyDescent="0.35"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4:31" x14ac:dyDescent="0.35"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4:31" x14ac:dyDescent="0.35"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4:31" x14ac:dyDescent="0.35"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4:31" x14ac:dyDescent="0.35"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4:31" x14ac:dyDescent="0.35"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4:31" x14ac:dyDescent="0.35"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4:31" x14ac:dyDescent="0.35"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4:31" x14ac:dyDescent="0.35"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4:31" x14ac:dyDescent="0.35"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4:31" x14ac:dyDescent="0.35"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4:31" x14ac:dyDescent="0.35"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4:31" x14ac:dyDescent="0.35"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4:31" x14ac:dyDescent="0.35"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4:31" x14ac:dyDescent="0.35"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4:31" x14ac:dyDescent="0.35"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4:31" x14ac:dyDescent="0.35"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4:31" x14ac:dyDescent="0.35"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4:31" x14ac:dyDescent="0.35"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4:31" x14ac:dyDescent="0.35"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4:31" x14ac:dyDescent="0.35"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4:31" x14ac:dyDescent="0.35"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4:31" x14ac:dyDescent="0.35"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4:31" x14ac:dyDescent="0.35"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4:31" x14ac:dyDescent="0.35"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4:31" x14ac:dyDescent="0.35"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4:31" x14ac:dyDescent="0.35"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4:31" x14ac:dyDescent="0.35"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4:31" x14ac:dyDescent="0.35"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4:31" x14ac:dyDescent="0.35"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4:31" x14ac:dyDescent="0.35"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4:31" x14ac:dyDescent="0.35"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4:31" x14ac:dyDescent="0.35"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4:31" x14ac:dyDescent="0.35"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4:31" x14ac:dyDescent="0.35"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4:31" x14ac:dyDescent="0.35"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4:31" x14ac:dyDescent="0.35"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4:31" x14ac:dyDescent="0.35"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4:31" x14ac:dyDescent="0.35"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4:31" x14ac:dyDescent="0.35"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4:31" x14ac:dyDescent="0.35"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4:31" x14ac:dyDescent="0.35"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4:31" x14ac:dyDescent="0.35"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4:31" x14ac:dyDescent="0.35"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4:31" x14ac:dyDescent="0.35"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4:31" x14ac:dyDescent="0.35"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4:31" x14ac:dyDescent="0.35"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4:31" x14ac:dyDescent="0.35"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4:31" x14ac:dyDescent="0.35"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4:31" x14ac:dyDescent="0.35"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4:31" x14ac:dyDescent="0.35"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4:31" x14ac:dyDescent="0.35"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4:31" x14ac:dyDescent="0.35"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4:31" x14ac:dyDescent="0.35"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4:31" x14ac:dyDescent="0.35"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4:31" x14ac:dyDescent="0.35"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4:31" x14ac:dyDescent="0.35"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4:31" x14ac:dyDescent="0.35"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4:31" x14ac:dyDescent="0.35"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4:31" x14ac:dyDescent="0.35"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4:31" x14ac:dyDescent="0.35"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4:31" x14ac:dyDescent="0.35"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4:31" x14ac:dyDescent="0.35"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4:31" x14ac:dyDescent="0.35"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4:31" x14ac:dyDescent="0.35"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4:31" x14ac:dyDescent="0.35"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4:31" x14ac:dyDescent="0.35"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4:31" x14ac:dyDescent="0.35"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4:31" x14ac:dyDescent="0.35"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4:31" x14ac:dyDescent="0.35"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4:31" x14ac:dyDescent="0.35"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4:31" x14ac:dyDescent="0.35"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4:31" x14ac:dyDescent="0.35"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4:31" x14ac:dyDescent="0.35"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4:31" x14ac:dyDescent="0.35"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4:31" x14ac:dyDescent="0.35"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4:31" x14ac:dyDescent="0.35"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4:31" x14ac:dyDescent="0.35"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4:31" x14ac:dyDescent="0.35"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4:31" x14ac:dyDescent="0.35"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4:31" x14ac:dyDescent="0.35"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4:31" x14ac:dyDescent="0.35"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4:31" x14ac:dyDescent="0.35"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4:31" x14ac:dyDescent="0.35"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4:31" x14ac:dyDescent="0.35"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4:31" x14ac:dyDescent="0.35"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4:31" x14ac:dyDescent="0.35"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4:31" x14ac:dyDescent="0.35"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4:31" x14ac:dyDescent="0.35"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4:31" x14ac:dyDescent="0.35"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4:31" x14ac:dyDescent="0.35"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4:31" x14ac:dyDescent="0.35"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4:31" x14ac:dyDescent="0.35"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4:31" x14ac:dyDescent="0.35"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4:31" x14ac:dyDescent="0.35"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4:31" x14ac:dyDescent="0.35"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4:31" x14ac:dyDescent="0.35"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4:31" x14ac:dyDescent="0.35"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4:31" x14ac:dyDescent="0.35"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4:31" x14ac:dyDescent="0.35"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4:31" x14ac:dyDescent="0.35"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4:31" x14ac:dyDescent="0.35"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4:31" x14ac:dyDescent="0.35"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4:31" x14ac:dyDescent="0.35"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4:31" x14ac:dyDescent="0.35"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4:31" x14ac:dyDescent="0.35"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4:31" x14ac:dyDescent="0.35"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4:31" x14ac:dyDescent="0.35"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4:31" x14ac:dyDescent="0.35"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4:31" x14ac:dyDescent="0.35"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4:31" x14ac:dyDescent="0.35"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4:31" x14ac:dyDescent="0.35"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4:31" x14ac:dyDescent="0.35"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4:31" x14ac:dyDescent="0.35"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4:31" x14ac:dyDescent="0.35"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4:31" x14ac:dyDescent="0.35"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4:31" x14ac:dyDescent="0.35"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4:31" x14ac:dyDescent="0.35"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4:31" x14ac:dyDescent="0.35"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4:31" x14ac:dyDescent="0.35"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4:31" x14ac:dyDescent="0.35"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4:31" x14ac:dyDescent="0.35"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spans="4:31" x14ac:dyDescent="0.35"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spans="4:31" x14ac:dyDescent="0.35"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spans="4:31" x14ac:dyDescent="0.35"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spans="4:31" x14ac:dyDescent="0.35"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spans="4:31" x14ac:dyDescent="0.35"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4:31" x14ac:dyDescent="0.35"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4:31" x14ac:dyDescent="0.35"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spans="4:31" x14ac:dyDescent="0.35"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spans="4:31" x14ac:dyDescent="0.35"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spans="4:31" x14ac:dyDescent="0.35"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spans="4:31" x14ac:dyDescent="0.35"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4:31" x14ac:dyDescent="0.35"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4:31" x14ac:dyDescent="0.35"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spans="4:31" x14ac:dyDescent="0.35"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spans="4:31" x14ac:dyDescent="0.35"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spans="4:31" x14ac:dyDescent="0.35"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spans="4:31" x14ac:dyDescent="0.35"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spans="4:31" x14ac:dyDescent="0.35"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4:31" x14ac:dyDescent="0.35"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spans="4:31" x14ac:dyDescent="0.35"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spans="4:31" x14ac:dyDescent="0.35"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spans="4:31" x14ac:dyDescent="0.35"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spans="4:31" x14ac:dyDescent="0.35"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spans="4:31" x14ac:dyDescent="0.35"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4:31" x14ac:dyDescent="0.35"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spans="4:31" x14ac:dyDescent="0.35"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spans="4:31" x14ac:dyDescent="0.35"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spans="4:31" x14ac:dyDescent="0.35"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spans="4:31" x14ac:dyDescent="0.35"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spans="4:31" x14ac:dyDescent="0.35"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spans="4:31" x14ac:dyDescent="0.35"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spans="4:31" x14ac:dyDescent="0.35"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spans="4:31" x14ac:dyDescent="0.35"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spans="4:31" x14ac:dyDescent="0.35"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spans="4:31" x14ac:dyDescent="0.35"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spans="4:31" x14ac:dyDescent="0.35"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spans="4:31" x14ac:dyDescent="0.35"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4:31" x14ac:dyDescent="0.35"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4:31" x14ac:dyDescent="0.35"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spans="4:31" x14ac:dyDescent="0.35"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spans="4:31" x14ac:dyDescent="0.35"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spans="4:31" x14ac:dyDescent="0.35"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spans="4:31" x14ac:dyDescent="0.35"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spans="4:31" x14ac:dyDescent="0.35"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spans="4:31" x14ac:dyDescent="0.35"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spans="4:31" x14ac:dyDescent="0.35"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spans="4:31" x14ac:dyDescent="0.35"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spans="4:31" x14ac:dyDescent="0.35"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spans="4:31" x14ac:dyDescent="0.35"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spans="4:31" x14ac:dyDescent="0.35"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spans="4:31" x14ac:dyDescent="0.35"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spans="4:31" x14ac:dyDescent="0.35"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spans="4:31" x14ac:dyDescent="0.35"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spans="4:31" x14ac:dyDescent="0.35"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spans="4:31" x14ac:dyDescent="0.35"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spans="4:31" x14ac:dyDescent="0.35"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spans="4:31" x14ac:dyDescent="0.35"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spans="4:31" x14ac:dyDescent="0.35"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spans="4:31" x14ac:dyDescent="0.35"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spans="4:31" x14ac:dyDescent="0.35"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spans="4:31" x14ac:dyDescent="0.35"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spans="4:31" x14ac:dyDescent="0.35"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spans="4:31" x14ac:dyDescent="0.35"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spans="4:31" x14ac:dyDescent="0.35"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spans="4:31" x14ac:dyDescent="0.35"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spans="4:31" x14ac:dyDescent="0.35"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spans="4:31" x14ac:dyDescent="0.35"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spans="4:31" x14ac:dyDescent="0.35"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spans="4:31" x14ac:dyDescent="0.35"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spans="4:31" x14ac:dyDescent="0.35"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spans="4:31" x14ac:dyDescent="0.35"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spans="4:31" x14ac:dyDescent="0.35"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spans="4:31" x14ac:dyDescent="0.35"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spans="4:31" x14ac:dyDescent="0.35"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spans="4:31" x14ac:dyDescent="0.35"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4:31" x14ac:dyDescent="0.35"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4:31" x14ac:dyDescent="0.35"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4:31" x14ac:dyDescent="0.35"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4:31" x14ac:dyDescent="0.35"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4:31" x14ac:dyDescent="0.35"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4:31" x14ac:dyDescent="0.35"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4:31" x14ac:dyDescent="0.35"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4:31" x14ac:dyDescent="0.35"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spans="4:31" x14ac:dyDescent="0.35"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spans="4:31" x14ac:dyDescent="0.35"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spans="4:31" x14ac:dyDescent="0.35"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spans="4:31" x14ac:dyDescent="0.35"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spans="4:31" x14ac:dyDescent="0.35"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spans="4:31" x14ac:dyDescent="0.35"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spans="4:31" x14ac:dyDescent="0.35"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spans="4:31" x14ac:dyDescent="0.35"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spans="4:31" x14ac:dyDescent="0.35"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spans="4:31" x14ac:dyDescent="0.35"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spans="4:31" x14ac:dyDescent="0.35"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spans="4:31" x14ac:dyDescent="0.35"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spans="4:31" x14ac:dyDescent="0.35"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 spans="4:31" x14ac:dyDescent="0.35"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spans="4:31" x14ac:dyDescent="0.35"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 spans="4:31" x14ac:dyDescent="0.35"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spans="4:31" x14ac:dyDescent="0.35"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 spans="4:31" x14ac:dyDescent="0.35"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4:31" x14ac:dyDescent="0.35"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4:31" x14ac:dyDescent="0.35"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4:31" x14ac:dyDescent="0.35"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4:31" x14ac:dyDescent="0.35"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4:31" x14ac:dyDescent="0.35"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4:31" x14ac:dyDescent="0.35"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4:31" x14ac:dyDescent="0.35"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4:31" x14ac:dyDescent="0.35"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4:31" x14ac:dyDescent="0.35"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4:31" x14ac:dyDescent="0.35"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4:31" x14ac:dyDescent="0.35"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4:31" x14ac:dyDescent="0.35"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4:31" x14ac:dyDescent="0.35"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4:31" x14ac:dyDescent="0.35"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4:31" x14ac:dyDescent="0.35"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4:31" x14ac:dyDescent="0.35"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4:31" x14ac:dyDescent="0.35"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4:31" x14ac:dyDescent="0.35"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4:31" x14ac:dyDescent="0.35"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4:31" x14ac:dyDescent="0.35"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4:31" x14ac:dyDescent="0.35"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4:31" x14ac:dyDescent="0.35"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4:31" x14ac:dyDescent="0.35"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4:31" x14ac:dyDescent="0.35"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4:31" x14ac:dyDescent="0.35"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spans="4:31" x14ac:dyDescent="0.35"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spans="4:31" x14ac:dyDescent="0.35"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spans="4:31" x14ac:dyDescent="0.35"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spans="4:31" x14ac:dyDescent="0.35"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 spans="4:31" x14ac:dyDescent="0.35"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spans="4:31" x14ac:dyDescent="0.35"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spans="4:31" x14ac:dyDescent="0.35"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spans="4:31" x14ac:dyDescent="0.35"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spans="4:31" x14ac:dyDescent="0.35"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spans="4:31" x14ac:dyDescent="0.35"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spans="4:31" x14ac:dyDescent="0.35"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spans="4:31" x14ac:dyDescent="0.35"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spans="4:31" x14ac:dyDescent="0.35"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spans="4:31" x14ac:dyDescent="0.35"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spans="4:31" x14ac:dyDescent="0.35"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spans="4:31" x14ac:dyDescent="0.35"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spans="4:31" x14ac:dyDescent="0.35"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spans="4:31" x14ac:dyDescent="0.35"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4:31" x14ac:dyDescent="0.35"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4:31" x14ac:dyDescent="0.35"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4:31" x14ac:dyDescent="0.35"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4:31" x14ac:dyDescent="0.35"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4:31" x14ac:dyDescent="0.35"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4:31" x14ac:dyDescent="0.35"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4:31" x14ac:dyDescent="0.35"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4:31" x14ac:dyDescent="0.35"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4:31" x14ac:dyDescent="0.35"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4:31" x14ac:dyDescent="0.35"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4:31" x14ac:dyDescent="0.35"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4:31" x14ac:dyDescent="0.35"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4:31" x14ac:dyDescent="0.35"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4:31" x14ac:dyDescent="0.35"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4:31" x14ac:dyDescent="0.35"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4:31" x14ac:dyDescent="0.35"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4:31" x14ac:dyDescent="0.35"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4:31" x14ac:dyDescent="0.35"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4:31" x14ac:dyDescent="0.35"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4:31" x14ac:dyDescent="0.35"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4:31" x14ac:dyDescent="0.35"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4:31" x14ac:dyDescent="0.35"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4:31" x14ac:dyDescent="0.35"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4:31" x14ac:dyDescent="0.35"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4:31" x14ac:dyDescent="0.35"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spans="4:31" x14ac:dyDescent="0.35"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 spans="4:31" x14ac:dyDescent="0.35"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spans="4:31" x14ac:dyDescent="0.35"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spans="4:31" x14ac:dyDescent="0.35"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 spans="4:31" x14ac:dyDescent="0.35"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spans="4:31" x14ac:dyDescent="0.35"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 spans="4:31" x14ac:dyDescent="0.35"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 spans="4:31" x14ac:dyDescent="0.35"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spans="4:31" x14ac:dyDescent="0.35"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spans="4:31" x14ac:dyDescent="0.35"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spans="4:31" x14ac:dyDescent="0.35"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spans="4:31" x14ac:dyDescent="0.35"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spans="4:31" x14ac:dyDescent="0.35"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spans="4:31" x14ac:dyDescent="0.35"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spans="4:31" x14ac:dyDescent="0.35"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spans="4:31" x14ac:dyDescent="0.35"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spans="4:31" x14ac:dyDescent="0.35"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spans="4:31" x14ac:dyDescent="0.35"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4:31" x14ac:dyDescent="0.35"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4:31" x14ac:dyDescent="0.35"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4:31" x14ac:dyDescent="0.35"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4:31" x14ac:dyDescent="0.35"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4:31" x14ac:dyDescent="0.35"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4:31" x14ac:dyDescent="0.35"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4:31" x14ac:dyDescent="0.35"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4:31" x14ac:dyDescent="0.35"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4:31" x14ac:dyDescent="0.35"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4:31" x14ac:dyDescent="0.35"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4:31" x14ac:dyDescent="0.35"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4:31" x14ac:dyDescent="0.35"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4:31" x14ac:dyDescent="0.35"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4:31" x14ac:dyDescent="0.35"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4:31" x14ac:dyDescent="0.35"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4:31" x14ac:dyDescent="0.35"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4:31" x14ac:dyDescent="0.35"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4:31" x14ac:dyDescent="0.35"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4:31" x14ac:dyDescent="0.35"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4:31" x14ac:dyDescent="0.35"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4:31" x14ac:dyDescent="0.35"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4:31" x14ac:dyDescent="0.35"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4:31" x14ac:dyDescent="0.35"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4:31" x14ac:dyDescent="0.35"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4:31" x14ac:dyDescent="0.35"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spans="4:31" x14ac:dyDescent="0.35"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spans="4:31" x14ac:dyDescent="0.35"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 spans="4:31" x14ac:dyDescent="0.35"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spans="4:31" x14ac:dyDescent="0.35"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spans="4:31" x14ac:dyDescent="0.35"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 spans="4:31" x14ac:dyDescent="0.35"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 spans="4:31" x14ac:dyDescent="0.35"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 spans="4:31" x14ac:dyDescent="0.35"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 spans="4:31" x14ac:dyDescent="0.35"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 spans="4:31" x14ac:dyDescent="0.35"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 spans="4:31" x14ac:dyDescent="0.35"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 spans="4:31" x14ac:dyDescent="0.35"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 spans="4:31" x14ac:dyDescent="0.35"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 spans="4:31" x14ac:dyDescent="0.35"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 spans="4:31" x14ac:dyDescent="0.35"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 spans="4:31" x14ac:dyDescent="0.35"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 spans="4:31" x14ac:dyDescent="0.35"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 spans="4:31" x14ac:dyDescent="0.35"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4:31" x14ac:dyDescent="0.35"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4:31" x14ac:dyDescent="0.35"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4:31" x14ac:dyDescent="0.35"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4:31" x14ac:dyDescent="0.35"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4:31" x14ac:dyDescent="0.35"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4:31" x14ac:dyDescent="0.35"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4:31" x14ac:dyDescent="0.35"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4:31" x14ac:dyDescent="0.35"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4:31" x14ac:dyDescent="0.35"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4:31" x14ac:dyDescent="0.35"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4:31" x14ac:dyDescent="0.35"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4:31" x14ac:dyDescent="0.35"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4:31" x14ac:dyDescent="0.35"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4:31" x14ac:dyDescent="0.35"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4:31" x14ac:dyDescent="0.35"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4:31" x14ac:dyDescent="0.35"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4:31" x14ac:dyDescent="0.35"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4:31" x14ac:dyDescent="0.35"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4:31" x14ac:dyDescent="0.35"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4:31" x14ac:dyDescent="0.35"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4:31" x14ac:dyDescent="0.35"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4:31" x14ac:dyDescent="0.35"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4:31" x14ac:dyDescent="0.35"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4:31" x14ac:dyDescent="0.35"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4:31" x14ac:dyDescent="0.35"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spans="4:31" x14ac:dyDescent="0.35"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 spans="4:31" x14ac:dyDescent="0.35"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 spans="4:31" x14ac:dyDescent="0.35"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 spans="4:31" x14ac:dyDescent="0.35"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 spans="4:31" x14ac:dyDescent="0.35"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 spans="4:31" x14ac:dyDescent="0.35"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 spans="4:31" x14ac:dyDescent="0.35"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 spans="4:31" x14ac:dyDescent="0.35"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 spans="4:31" x14ac:dyDescent="0.35"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 spans="4:31" x14ac:dyDescent="0.35"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 spans="4:31" x14ac:dyDescent="0.35"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 spans="4:31" x14ac:dyDescent="0.35"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 spans="4:31" x14ac:dyDescent="0.35"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 spans="4:31" x14ac:dyDescent="0.35"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 spans="4:31" x14ac:dyDescent="0.35"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 spans="4:31" x14ac:dyDescent="0.35"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 spans="4:31" x14ac:dyDescent="0.35"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 spans="4:31" x14ac:dyDescent="0.35"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Y426" s="7"/>
      <c r="Z426" s="7"/>
      <c r="AA426" s="7"/>
      <c r="AB426" s="7"/>
      <c r="AC426" s="7"/>
      <c r="AD426" s="7"/>
      <c r="AE426" s="7"/>
    </row>
  </sheetData>
  <pageMargins left="0.511811024" right="0.511811024" top="0.78740157499999996" bottom="0.78740157499999996" header="0.31496062000000002" footer="0.31496062000000002"/>
  <headerFooter>
    <oddHeader>&amp;R&amp;"Calibri"&amp;10&amp;K000000 Classificação: Público&amp;1#_x000D_</oddHeader>
  </headerFooter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A̳ssets</vt:lpstr>
      <vt:lpstr>1</vt:lpstr>
      <vt:lpstr>2</vt:lpstr>
      <vt:lpstr>3</vt:lpstr>
      <vt:lpstr>4</vt:lpstr>
      <vt:lpstr>B̳ases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Julia Coelho</cp:lastModifiedBy>
  <dcterms:created xsi:type="dcterms:W3CDTF">2024-12-19T13:13:10Z</dcterms:created>
  <dcterms:modified xsi:type="dcterms:W3CDTF">2026-01-15T01:25:20Z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SIP_Label_7db653a2-4a66-4c92-aec7-34d1184b420d_Enabled">
    <vt:lpwstr>true</vt:lpwstr>
  </property>
  <property fmtid="{D5CDD505-2E9C-101B-9397-08002B2CF9AE}" pid="4" name="MSIP_Label_7db653a2-4a66-4c92-aec7-34d1184b420d_SetDate">
    <vt:lpwstr>2026-01-15T00:26:40Z</vt:lpwstr>
  </property>
  <property fmtid="{D5CDD505-2E9C-101B-9397-08002B2CF9AE}" pid="5" name="MSIP_Label_7db653a2-4a66-4c92-aec7-34d1184b420d_Method">
    <vt:lpwstr>Privileged</vt:lpwstr>
  </property>
  <property fmtid="{D5CDD505-2E9C-101B-9397-08002B2CF9AE}" pid="6" name="MSIP_Label_7db653a2-4a66-4c92-aec7-34d1184b420d_Name">
    <vt:lpwstr>Público</vt:lpwstr>
  </property>
  <property fmtid="{D5CDD505-2E9C-101B-9397-08002B2CF9AE}" pid="7" name="MSIP_Label_7db653a2-4a66-4c92-aec7-34d1184b420d_SiteId">
    <vt:lpwstr>00466ab9-c560-49f0-86af-238be4a1ac67</vt:lpwstr>
  </property>
  <property fmtid="{D5CDD505-2E9C-101B-9397-08002B2CF9AE}" pid="8" name="MSIP_Label_7db653a2-4a66-4c92-aec7-34d1184b420d_ActionId">
    <vt:lpwstr>ca12d67d-cc3a-4eac-ba6c-ddc703ef443a</vt:lpwstr>
  </property>
  <property fmtid="{D5CDD505-2E9C-101B-9397-08002B2CF9AE}" pid="9" name="MSIP_Label_7db653a2-4a66-4c92-aec7-34d1184b420d_ContentBits">
    <vt:lpwstr>1</vt:lpwstr>
  </property>
</Properties>
</file>